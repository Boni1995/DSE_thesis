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ocuments\GitHub\DSE_thesis\Material\Interviews\1. Qualitative Interview\"/>
    </mc:Choice>
  </mc:AlternateContent>
  <xr:revisionPtr revIDLastSave="0" documentId="13_ncr:1_{B2C15FE2-8924-40D9-B65A-360832DA0470}" xr6:coauthVersionLast="47" xr6:coauthVersionMax="47" xr10:uidLastSave="{00000000-0000-0000-0000-000000000000}"/>
  <bookViews>
    <workbookView xWindow="-108" yWindow="-108" windowWidth="23256" windowHeight="12456" xr2:uid="{1010D4BD-99A2-4997-AD21-2857331DB82F}"/>
  </bookViews>
  <sheets>
    <sheet name="Attribute_Frequency_Table" sheetId="2" r:id="rId1"/>
    <sheet name="Attributes_by_Interview" sheetId="3" r:id="rId2"/>
  </sheets>
  <definedNames>
    <definedName name="_xlnm._FilterDatabase" localSheetId="1" hidden="1">Attributes_by_Interview!$B$1:$M$1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A33" i="3"/>
  <c r="C3" i="3"/>
  <c r="A3" i="3" s="1"/>
  <c r="C4" i="3"/>
  <c r="A4" i="3" s="1"/>
  <c r="C5" i="3"/>
  <c r="A5" i="3" s="1"/>
  <c r="C6" i="3"/>
  <c r="A6" i="3" s="1"/>
  <c r="C7" i="3"/>
  <c r="A7" i="3" s="1"/>
  <c r="C8" i="3"/>
  <c r="A8" i="3" s="1"/>
  <c r="C9" i="3"/>
  <c r="C10" i="3"/>
  <c r="C11" i="3"/>
  <c r="A11" i="3" s="1"/>
  <c r="C12" i="3"/>
  <c r="A12" i="3" s="1"/>
  <c r="C13" i="3"/>
  <c r="A13" i="3" s="1"/>
  <c r="C14" i="3"/>
  <c r="A14" i="3" s="1"/>
  <c r="C15" i="3"/>
  <c r="A15" i="3" s="1"/>
  <c r="C16" i="3"/>
  <c r="A16" i="3" s="1"/>
  <c r="C17" i="3"/>
  <c r="C18" i="3"/>
  <c r="C19" i="3"/>
  <c r="A19" i="3" s="1"/>
  <c r="C20" i="3"/>
  <c r="A20" i="3" s="1"/>
  <c r="C21" i="3"/>
  <c r="A21" i="3" s="1"/>
  <c r="C22" i="3"/>
  <c r="A22" i="3" s="1"/>
  <c r="C23" i="3"/>
  <c r="A23" i="3" s="1"/>
  <c r="C24" i="3"/>
  <c r="A24" i="3" s="1"/>
  <c r="C25" i="3"/>
  <c r="C26" i="3"/>
  <c r="C27" i="3"/>
  <c r="A27" i="3" s="1"/>
  <c r="C28" i="3"/>
  <c r="A28" i="3" s="1"/>
  <c r="C29" i="3"/>
  <c r="A29" i="3" s="1"/>
  <c r="C30" i="3"/>
  <c r="A30" i="3" s="1"/>
  <c r="C31" i="3"/>
  <c r="A31" i="3" s="1"/>
  <c r="C32" i="3"/>
  <c r="A32" i="3" s="1"/>
  <c r="C33" i="3"/>
  <c r="C34" i="3"/>
  <c r="C35" i="3"/>
  <c r="A35" i="3" s="1"/>
  <c r="C36" i="3"/>
  <c r="A36" i="3" s="1"/>
  <c r="C37" i="3"/>
  <c r="A37" i="3" s="1"/>
  <c r="C38" i="3"/>
  <c r="A38" i="3" s="1"/>
  <c r="C39" i="3"/>
  <c r="A39" i="3" s="1"/>
  <c r="C40" i="3"/>
  <c r="A40" i="3" s="1"/>
  <c r="C41" i="3"/>
  <c r="C42" i="3"/>
  <c r="C43" i="3"/>
  <c r="A43" i="3" s="1"/>
  <c r="C44" i="3"/>
  <c r="A44" i="3" s="1"/>
  <c r="C45" i="3"/>
  <c r="A45" i="3" s="1"/>
  <c r="C2" i="3"/>
  <c r="A41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2" i="3" l="1"/>
  <c r="A18" i="3"/>
  <c r="A25" i="3"/>
  <c r="A2" i="3"/>
  <c r="C14" i="2" s="1"/>
  <c r="B12" i="2"/>
  <c r="A34" i="3"/>
  <c r="A26" i="3"/>
  <c r="A10" i="3"/>
  <c r="B9" i="2" s="1"/>
  <c r="A17" i="3"/>
  <c r="C6" i="2"/>
  <c r="C8" i="2"/>
  <c r="C12" i="2"/>
  <c r="C17" i="2"/>
  <c r="C21" i="2"/>
  <c r="C11" i="2" l="1"/>
  <c r="B7" i="2"/>
  <c r="C16" i="2"/>
  <c r="C7" i="2"/>
  <c r="C44" i="2"/>
  <c r="B16" i="2"/>
  <c r="C35" i="2"/>
  <c r="C3" i="2"/>
  <c r="B31" i="2"/>
  <c r="C34" i="2"/>
  <c r="B3" i="2"/>
  <c r="C13" i="2"/>
  <c r="B44" i="2"/>
  <c r="C31" i="2"/>
  <c r="C30" i="2"/>
  <c r="C22" i="2"/>
  <c r="C41" i="2"/>
  <c r="C9" i="2"/>
  <c r="B21" i="2"/>
  <c r="C36" i="2"/>
  <c r="C4" i="2"/>
  <c r="B40" i="2"/>
  <c r="B8" i="2"/>
  <c r="C27" i="2"/>
  <c r="B23" i="2"/>
  <c r="C18" i="2"/>
  <c r="C25" i="2"/>
  <c r="C38" i="2"/>
  <c r="B27" i="2"/>
  <c r="C37" i="2"/>
  <c r="C5" i="2"/>
  <c r="B17" i="2"/>
  <c r="C32" i="2"/>
  <c r="C42" i="2"/>
  <c r="B36" i="2"/>
  <c r="B4" i="2"/>
  <c r="C23" i="2"/>
  <c r="B19" i="2"/>
  <c r="B37" i="2"/>
  <c r="C20" i="2"/>
  <c r="C43" i="2"/>
  <c r="B39" i="2"/>
  <c r="B20" i="2"/>
  <c r="B35" i="2"/>
  <c r="B29" i="2"/>
  <c r="B32" i="2"/>
  <c r="B34" i="2"/>
  <c r="B30" i="2"/>
  <c r="B22" i="2"/>
  <c r="B18" i="2"/>
  <c r="B14" i="2"/>
  <c r="B10" i="2"/>
  <c r="B6" i="2"/>
  <c r="B26" i="2"/>
  <c r="B2" i="2"/>
  <c r="C2" i="2"/>
  <c r="B42" i="2"/>
  <c r="B38" i="2"/>
  <c r="C19" i="2"/>
  <c r="B15" i="2"/>
  <c r="C10" i="2"/>
  <c r="B5" i="2"/>
  <c r="B24" i="2"/>
  <c r="B33" i="2"/>
  <c r="C39" i="2"/>
  <c r="B25" i="2"/>
  <c r="C40" i="2"/>
  <c r="C33" i="2"/>
  <c r="B45" i="2"/>
  <c r="B13" i="2"/>
  <c r="C28" i="2"/>
  <c r="C29" i="2"/>
  <c r="B41" i="2"/>
  <c r="C24" i="2"/>
  <c r="B28" i="2"/>
  <c r="C26" i="2"/>
  <c r="C15" i="2"/>
  <c r="B43" i="2"/>
  <c r="B11" i="2"/>
  <c r="C4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24275D-284C-4286-8C67-B495DB8AB900}" keepAlive="1" name="Consulta - Attribute_Frequency_Table" description="Conexión a la consulta 'Attribute_Frequency_Table' en el libro." type="5" refreshedVersion="0" background="1">
    <dbPr connection="Provider=Microsoft.Mashup.OleDb.1;Data Source=$Workbook$;Location=Attribute_Frequency_Table;Extended Properties=&quot;&quot;" command="SELECT * FROM [Attribute_Frequency_Table]"/>
  </connection>
  <connection id="2" xr16:uid="{6CA430F6-5755-4A7C-B6C6-3B6528BFF7F4}" keepAlive="1" name="Consulta - Attributes_by_Interview" description="Conexión a la consulta 'Attributes_by_Interview' en el libro." type="5" refreshedVersion="0" background="1">
    <dbPr connection="Provider=Microsoft.Mashup.OleDb.1;Data Source=$Workbook$;Location=Attributes_by_Interview;Extended Properties=&quot;&quot;" command="SELECT * FROM [Attributes_by_Interview]"/>
  </connection>
</connections>
</file>

<file path=xl/sharedStrings.xml><?xml version="1.0" encoding="utf-8"?>
<sst xmlns="http://schemas.openxmlformats.org/spreadsheetml/2006/main" count="68" uniqueCount="60">
  <si>
    <t>Attribute</t>
  </si>
  <si>
    <t>Frequency</t>
  </si>
  <si>
    <t>proximity to other destinations</t>
  </si>
  <si>
    <t>accommodation type</t>
  </si>
  <si>
    <t>accessibility to touristic points</t>
  </si>
  <si>
    <t>cost to reach</t>
  </si>
  <si>
    <t>local events</t>
  </si>
  <si>
    <t>distance to reach</t>
  </si>
  <si>
    <t>accommodation price</t>
  </si>
  <si>
    <t>local cuisine</t>
  </si>
  <si>
    <t>proximity to popular cities</t>
  </si>
  <si>
    <t>accommodation services</t>
  </si>
  <si>
    <t>availability of transport to destination</t>
  </si>
  <si>
    <t>cultural immersion</t>
  </si>
  <si>
    <t>natural landscape</t>
  </si>
  <si>
    <t>online recommendations</t>
  </si>
  <si>
    <t>local prices</t>
  </si>
  <si>
    <t>overcrowded</t>
  </si>
  <si>
    <t>museums</t>
  </si>
  <si>
    <t>access to beaches</t>
  </si>
  <si>
    <t>popular city</t>
  </si>
  <si>
    <t>variety of hours for transportation</t>
  </si>
  <si>
    <t>local friendliness</t>
  </si>
  <si>
    <t>city’s accessibility</t>
  </si>
  <si>
    <t>accommodation location</t>
  </si>
  <si>
    <t>historical places</t>
  </si>
  <si>
    <t>accommodation quality</t>
  </si>
  <si>
    <t>genuine online recommendations</t>
  </si>
  <si>
    <t>food’s price</t>
  </si>
  <si>
    <t>accessible by public transport</t>
  </si>
  <si>
    <t>information availability online</t>
  </si>
  <si>
    <t>hiking trails</t>
  </si>
  <si>
    <t>music events</t>
  </si>
  <si>
    <t>historical buildings</t>
  </si>
  <si>
    <t>availability of city tours</t>
  </si>
  <si>
    <t>destination size</t>
  </si>
  <si>
    <t>music events cost</t>
  </si>
  <si>
    <t>supermarket availability</t>
  </si>
  <si>
    <t>access to mountains</t>
  </si>
  <si>
    <t>events price</t>
  </si>
  <si>
    <t>local restaurants</t>
  </si>
  <si>
    <t>local experience</t>
  </si>
  <si>
    <t>car friendly</t>
  </si>
  <si>
    <t>availability of travel agencies</t>
  </si>
  <si>
    <t>attraction availability</t>
  </si>
  <si>
    <t>restaurants availability</t>
  </si>
  <si>
    <t>Interview 1</t>
  </si>
  <si>
    <t>Interview 2</t>
  </si>
  <si>
    <t>Interview 3</t>
  </si>
  <si>
    <t>Interview 4</t>
  </si>
  <si>
    <t>Interview 5</t>
  </si>
  <si>
    <t>Interview 6</t>
  </si>
  <si>
    <t>Interview 7</t>
  </si>
  <si>
    <t>Interview 8</t>
  </si>
  <si>
    <t>Interview 9</t>
  </si>
  <si>
    <t>Interview 10</t>
  </si>
  <si>
    <t>#</t>
  </si>
  <si>
    <t>Total</t>
  </si>
  <si>
    <t>Final attributes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</si>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</sst>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6" fillId="33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4EC4-A069-4538-AB5A-AA8E0DF18E9E}">
  <dimension ref="A1:D45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baseColWidth="10" defaultRowHeight="14.4" x14ac:dyDescent="0.3"/>
  <cols>
    <col min="1" max="1" width="3" bestFit="1" customWidth="1"/>
    <col min="2" max="2" width="30.33203125" style="1" bestFit="1" customWidth="1"/>
    <col min="3" max="3" width="11.88671875" style="1" bestFit="1" customWidth="1"/>
    <col min="4" max="4" width="13.6640625" style="2" bestFit="1" customWidth="1"/>
  </cols>
  <sheetData>
    <row r="1" spans="1:4" x14ac:dyDescent="0.3">
      <c r="A1" s="3" t="s">
        <v>56</v>
      </c>
      <c r="B1" s="3" t="s">
        <v>0</v>
      </c>
      <c r="C1" s="3" t="s">
        <v>1</v>
      </c>
      <c r="D1" s="3" t="s">
        <v>58</v>
      </c>
    </row>
    <row r="2" spans="1:4" x14ac:dyDescent="0.3">
      <c r="A2" s="4">
        <v>1</v>
      </c>
      <c r="B2" s="4" t="str">
        <f>+VLOOKUP($A2,Attributes_by_Interview!$A:$C,2,0)</f>
        <v>accommodation type</v>
      </c>
      <c r="C2" s="4">
        <f>+VLOOKUP($A2,Attributes_by_Interview!$A:$C,3,0)</f>
        <v>9</v>
      </c>
      <c r="D2" s="6" t="s">
        <v>59</v>
      </c>
    </row>
    <row r="3" spans="1:4" x14ac:dyDescent="0.3">
      <c r="A3" s="4">
        <f>+A2+1</f>
        <v>2</v>
      </c>
      <c r="B3" s="4" t="str">
        <f>+VLOOKUP($A3,Attributes_by_Interview!$A:$C,2,0)</f>
        <v>online recommendations</v>
      </c>
      <c r="C3" s="4">
        <f>+VLOOKUP($A3,Attributes_by_Interview!$A:$C,3,0)</f>
        <v>9</v>
      </c>
      <c r="D3" s="6" t="s">
        <v>59</v>
      </c>
    </row>
    <row r="4" spans="1:4" x14ac:dyDescent="0.3">
      <c r="A4" s="4">
        <f t="shared" ref="A4:A45" si="0">+A3+1</f>
        <v>3</v>
      </c>
      <c r="B4" s="4" t="str">
        <f>+VLOOKUP($A4,Attributes_by_Interview!$A:$C,2,0)</f>
        <v>proximity to other destinations</v>
      </c>
      <c r="C4" s="4">
        <f>+VLOOKUP($A4,Attributes_by_Interview!$A:$C,3,0)</f>
        <v>9</v>
      </c>
      <c r="D4" s="6" t="s">
        <v>59</v>
      </c>
    </row>
    <row r="5" spans="1:4" x14ac:dyDescent="0.3">
      <c r="A5" s="4">
        <f t="shared" si="0"/>
        <v>4</v>
      </c>
      <c r="B5" s="4" t="str">
        <f>+VLOOKUP($A5,Attributes_by_Interview!$A:$C,2,0)</f>
        <v>local cuisine</v>
      </c>
      <c r="C5" s="4">
        <f>+VLOOKUP($A5,Attributes_by_Interview!$A:$C,3,0)</f>
        <v>8</v>
      </c>
      <c r="D5" s="6" t="s">
        <v>59</v>
      </c>
    </row>
    <row r="6" spans="1:4" x14ac:dyDescent="0.3">
      <c r="A6" s="4">
        <f t="shared" si="0"/>
        <v>5</v>
      </c>
      <c r="B6" s="4" t="str">
        <f>+VLOOKUP($A6,Attributes_by_Interview!$A:$C,2,0)</f>
        <v>accessibility to touristic points</v>
      </c>
      <c r="C6" s="4">
        <f>+VLOOKUP($A6,Attributes_by_Interview!$A:$C,3,0)</f>
        <v>7</v>
      </c>
      <c r="D6" s="6" t="s">
        <v>59</v>
      </c>
    </row>
    <row r="7" spans="1:4" x14ac:dyDescent="0.3">
      <c r="A7" s="4">
        <f t="shared" si="0"/>
        <v>6</v>
      </c>
      <c r="B7" s="4" t="str">
        <f>+VLOOKUP($A7,Attributes_by_Interview!$A:$C,2,0)</f>
        <v>cost to reach</v>
      </c>
      <c r="C7" s="4">
        <f>+VLOOKUP($A7,Attributes_by_Interview!$A:$C,3,0)</f>
        <v>7</v>
      </c>
      <c r="D7" s="6" t="s">
        <v>59</v>
      </c>
    </row>
    <row r="8" spans="1:4" x14ac:dyDescent="0.3">
      <c r="A8" s="4">
        <f t="shared" si="0"/>
        <v>7</v>
      </c>
      <c r="B8" s="4" t="str">
        <f>+VLOOKUP($A8,Attributes_by_Interview!$A:$C,2,0)</f>
        <v>accommodation price</v>
      </c>
      <c r="C8" s="4">
        <f>+VLOOKUP($A8,Attributes_by_Interview!$A:$C,3,0)</f>
        <v>6</v>
      </c>
      <c r="D8" s="6"/>
    </row>
    <row r="9" spans="1:4" x14ac:dyDescent="0.3">
      <c r="A9" s="4">
        <f t="shared" si="0"/>
        <v>8</v>
      </c>
      <c r="B9" s="4" t="str">
        <f>+VLOOKUP($A9,Attributes_by_Interview!$A:$C,2,0)</f>
        <v>distance to reach</v>
      </c>
      <c r="C9" s="4">
        <f>+VLOOKUP($A9,Attributes_by_Interview!$A:$C,3,0)</f>
        <v>6</v>
      </c>
      <c r="D9" s="6"/>
    </row>
    <row r="10" spans="1:4" x14ac:dyDescent="0.3">
      <c r="A10" s="4">
        <f t="shared" si="0"/>
        <v>9</v>
      </c>
      <c r="B10" s="4" t="str">
        <f>+VLOOKUP($A10,Attributes_by_Interview!$A:$C,2,0)</f>
        <v>historical buildings</v>
      </c>
      <c r="C10" s="4">
        <f>+VLOOKUP($A10,Attributes_by_Interview!$A:$C,3,0)</f>
        <v>6</v>
      </c>
      <c r="D10" s="6" t="s">
        <v>59</v>
      </c>
    </row>
    <row r="11" spans="1:4" x14ac:dyDescent="0.3">
      <c r="A11" s="4">
        <f t="shared" si="0"/>
        <v>10</v>
      </c>
      <c r="B11" s="4" t="str">
        <f>+VLOOKUP($A11,Attributes_by_Interview!$A:$C,2,0)</f>
        <v>local events</v>
      </c>
      <c r="C11" s="4">
        <f>+VLOOKUP($A11,Attributes_by_Interview!$A:$C,3,0)</f>
        <v>6</v>
      </c>
      <c r="D11" s="6"/>
    </row>
    <row r="12" spans="1:4" x14ac:dyDescent="0.3">
      <c r="A12" s="4">
        <f t="shared" si="0"/>
        <v>11</v>
      </c>
      <c r="B12" s="4" t="str">
        <f>+VLOOKUP($A12,Attributes_by_Interview!$A:$C,2,0)</f>
        <v>accommodation services</v>
      </c>
      <c r="C12" s="4">
        <f>+VLOOKUP($A12,Attributes_by_Interview!$A:$C,3,0)</f>
        <v>5</v>
      </c>
      <c r="D12" s="6"/>
    </row>
    <row r="13" spans="1:4" x14ac:dyDescent="0.3">
      <c r="A13" s="4">
        <f t="shared" si="0"/>
        <v>12</v>
      </c>
      <c r="B13" s="4" t="str">
        <f>+VLOOKUP($A13,Attributes_by_Interview!$A:$C,2,0)</f>
        <v>availability of transport to destination</v>
      </c>
      <c r="C13" s="4">
        <f>+VLOOKUP($A13,Attributes_by_Interview!$A:$C,3,0)</f>
        <v>5</v>
      </c>
      <c r="D13" s="6"/>
    </row>
    <row r="14" spans="1:4" x14ac:dyDescent="0.3">
      <c r="A14" s="4">
        <f t="shared" si="0"/>
        <v>13</v>
      </c>
      <c r="B14" s="4" t="str">
        <f>+VLOOKUP($A14,Attributes_by_Interview!$A:$C,2,0)</f>
        <v>cultural immersion</v>
      </c>
      <c r="C14" s="4">
        <f>+VLOOKUP($A14,Attributes_by_Interview!$A:$C,3,0)</f>
        <v>5</v>
      </c>
      <c r="D14" s="6"/>
    </row>
    <row r="15" spans="1:4" x14ac:dyDescent="0.3">
      <c r="A15" s="4">
        <f t="shared" si="0"/>
        <v>14</v>
      </c>
      <c r="B15" s="4" t="str">
        <f>+VLOOKUP($A15,Attributes_by_Interview!$A:$C,2,0)</f>
        <v>food’s price</v>
      </c>
      <c r="C15" s="4">
        <f>+VLOOKUP($A15,Attributes_by_Interview!$A:$C,3,0)</f>
        <v>5</v>
      </c>
      <c r="D15" s="6"/>
    </row>
    <row r="16" spans="1:4" x14ac:dyDescent="0.3">
      <c r="A16" s="4">
        <f t="shared" si="0"/>
        <v>15</v>
      </c>
      <c r="B16" s="4" t="str">
        <f>+VLOOKUP($A16,Attributes_by_Interview!$A:$C,2,0)</f>
        <v>proximity to popular cities</v>
      </c>
      <c r="C16" s="4">
        <f>+VLOOKUP($A16,Attributes_by_Interview!$A:$C,3,0)</f>
        <v>5</v>
      </c>
      <c r="D16" s="6"/>
    </row>
    <row r="17" spans="1:4" x14ac:dyDescent="0.3">
      <c r="A17" s="4">
        <f t="shared" si="0"/>
        <v>16</v>
      </c>
      <c r="B17" s="4" t="str">
        <f>+VLOOKUP($A17,Attributes_by_Interview!$A:$C,2,0)</f>
        <v>accommodation location</v>
      </c>
      <c r="C17" s="4">
        <f>+VLOOKUP($A17,Attributes_by_Interview!$A:$C,3,0)</f>
        <v>4</v>
      </c>
      <c r="D17" s="6"/>
    </row>
    <row r="18" spans="1:4" x14ac:dyDescent="0.3">
      <c r="A18" s="4">
        <f t="shared" si="0"/>
        <v>17</v>
      </c>
      <c r="B18" s="4" t="str">
        <f>+VLOOKUP($A18,Attributes_by_Interview!$A:$C,2,0)</f>
        <v>historical places</v>
      </c>
      <c r="C18" s="4">
        <f>+VLOOKUP($A18,Attributes_by_Interview!$A:$C,3,0)</f>
        <v>4</v>
      </c>
      <c r="D18" s="6"/>
    </row>
    <row r="19" spans="1:4" x14ac:dyDescent="0.3">
      <c r="A19" s="4">
        <f t="shared" si="0"/>
        <v>18</v>
      </c>
      <c r="B19" s="4" t="str">
        <f>+VLOOKUP($A19,Attributes_by_Interview!$A:$C,2,0)</f>
        <v>local prices</v>
      </c>
      <c r="C19" s="4">
        <f>+VLOOKUP($A19,Attributes_by_Interview!$A:$C,3,0)</f>
        <v>4</v>
      </c>
      <c r="D19" s="6"/>
    </row>
    <row r="20" spans="1:4" x14ac:dyDescent="0.3">
      <c r="A20" s="4">
        <f t="shared" si="0"/>
        <v>19</v>
      </c>
      <c r="B20" s="4" t="str">
        <f>+VLOOKUP($A20,Attributes_by_Interview!$A:$C,2,0)</f>
        <v>natural landscape</v>
      </c>
      <c r="C20" s="4">
        <f>+VLOOKUP($A20,Attributes_by_Interview!$A:$C,3,0)</f>
        <v>4</v>
      </c>
      <c r="D20" s="6"/>
    </row>
    <row r="21" spans="1:4" x14ac:dyDescent="0.3">
      <c r="A21" s="4">
        <f t="shared" si="0"/>
        <v>20</v>
      </c>
      <c r="B21" s="4" t="str">
        <f>+VLOOKUP($A21,Attributes_by_Interview!$A:$C,2,0)</f>
        <v>access to beaches</v>
      </c>
      <c r="C21" s="4">
        <f>+VLOOKUP($A21,Attributes_by_Interview!$A:$C,3,0)</f>
        <v>3</v>
      </c>
      <c r="D21" s="6"/>
    </row>
    <row r="22" spans="1:4" x14ac:dyDescent="0.3">
      <c r="A22" s="4">
        <f t="shared" si="0"/>
        <v>21</v>
      </c>
      <c r="B22" s="4" t="str">
        <f>+VLOOKUP($A22,Attributes_by_Interview!$A:$C,2,0)</f>
        <v>information availability online</v>
      </c>
      <c r="C22" s="4">
        <f>+VLOOKUP($A22,Attributes_by_Interview!$A:$C,3,0)</f>
        <v>3</v>
      </c>
      <c r="D22" s="6"/>
    </row>
    <row r="23" spans="1:4" x14ac:dyDescent="0.3">
      <c r="A23" s="4">
        <f t="shared" si="0"/>
        <v>22</v>
      </c>
      <c r="B23" s="4" t="str">
        <f>+VLOOKUP($A23,Attributes_by_Interview!$A:$C,2,0)</f>
        <v>museums</v>
      </c>
      <c r="C23" s="4">
        <f>+VLOOKUP($A23,Attributes_by_Interview!$A:$C,3,0)</f>
        <v>3</v>
      </c>
      <c r="D23" s="6"/>
    </row>
    <row r="24" spans="1:4" x14ac:dyDescent="0.3">
      <c r="A24" s="4">
        <f t="shared" si="0"/>
        <v>23</v>
      </c>
      <c r="B24" s="4" t="str">
        <f>+VLOOKUP($A24,Attributes_by_Interview!$A:$C,2,0)</f>
        <v>overcrowded</v>
      </c>
      <c r="C24" s="4">
        <f>+VLOOKUP($A24,Attributes_by_Interview!$A:$C,3,0)</f>
        <v>3</v>
      </c>
      <c r="D24" s="6"/>
    </row>
    <row r="25" spans="1:4" x14ac:dyDescent="0.3">
      <c r="A25" s="4">
        <f t="shared" si="0"/>
        <v>24</v>
      </c>
      <c r="B25" s="4" t="str">
        <f>+VLOOKUP($A25,Attributes_by_Interview!$A:$C,2,0)</f>
        <v>restaurants availability</v>
      </c>
      <c r="C25" s="4">
        <f>+VLOOKUP($A25,Attributes_by_Interview!$A:$C,3,0)</f>
        <v>3</v>
      </c>
      <c r="D25" s="6"/>
    </row>
    <row r="26" spans="1:4" x14ac:dyDescent="0.3">
      <c r="A26" s="4">
        <f t="shared" si="0"/>
        <v>25</v>
      </c>
      <c r="B26" s="4" t="str">
        <f>+VLOOKUP($A26,Attributes_by_Interview!$A:$C,2,0)</f>
        <v>accessible by public transport</v>
      </c>
      <c r="C26" s="4">
        <f>+VLOOKUP($A26,Attributes_by_Interview!$A:$C,3,0)</f>
        <v>2</v>
      </c>
      <c r="D26" s="6"/>
    </row>
    <row r="27" spans="1:4" x14ac:dyDescent="0.3">
      <c r="A27" s="4">
        <f t="shared" si="0"/>
        <v>26</v>
      </c>
      <c r="B27" s="4" t="str">
        <f>+VLOOKUP($A27,Attributes_by_Interview!$A:$C,2,0)</f>
        <v>accommodation quality</v>
      </c>
      <c r="C27" s="4">
        <f>+VLOOKUP($A27,Attributes_by_Interview!$A:$C,3,0)</f>
        <v>2</v>
      </c>
      <c r="D27" s="6"/>
    </row>
    <row r="28" spans="1:4" x14ac:dyDescent="0.3">
      <c r="A28" s="4">
        <f t="shared" si="0"/>
        <v>27</v>
      </c>
      <c r="B28" s="4" t="str">
        <f>+VLOOKUP($A28,Attributes_by_Interview!$A:$C,2,0)</f>
        <v>city’s accessibility</v>
      </c>
      <c r="C28" s="4">
        <f>+VLOOKUP($A28,Attributes_by_Interview!$A:$C,3,0)</f>
        <v>2</v>
      </c>
      <c r="D28" s="6"/>
    </row>
    <row r="29" spans="1:4" x14ac:dyDescent="0.3">
      <c r="A29" s="4">
        <f t="shared" si="0"/>
        <v>28</v>
      </c>
      <c r="B29" s="4" t="str">
        <f>+VLOOKUP($A29,Attributes_by_Interview!$A:$C,2,0)</f>
        <v>genuine online recommendations</v>
      </c>
      <c r="C29" s="4">
        <f>+VLOOKUP($A29,Attributes_by_Interview!$A:$C,3,0)</f>
        <v>2</v>
      </c>
      <c r="D29" s="6"/>
    </row>
    <row r="30" spans="1:4" x14ac:dyDescent="0.3">
      <c r="A30" s="4">
        <f t="shared" si="0"/>
        <v>29</v>
      </c>
      <c r="B30" s="4" t="str">
        <f>+VLOOKUP($A30,Attributes_by_Interview!$A:$C,2,0)</f>
        <v>hiking trails</v>
      </c>
      <c r="C30" s="4">
        <f>+VLOOKUP($A30,Attributes_by_Interview!$A:$C,3,0)</f>
        <v>2</v>
      </c>
      <c r="D30" s="6"/>
    </row>
    <row r="31" spans="1:4" x14ac:dyDescent="0.3">
      <c r="A31" s="4">
        <f t="shared" si="0"/>
        <v>30</v>
      </c>
      <c r="B31" s="4" t="str">
        <f>+VLOOKUP($A31,Attributes_by_Interview!$A:$C,2,0)</f>
        <v>local friendliness</v>
      </c>
      <c r="C31" s="4">
        <f>+VLOOKUP($A31,Attributes_by_Interview!$A:$C,3,0)</f>
        <v>2</v>
      </c>
      <c r="D31" s="6"/>
    </row>
    <row r="32" spans="1:4" x14ac:dyDescent="0.3">
      <c r="A32" s="4">
        <f t="shared" si="0"/>
        <v>31</v>
      </c>
      <c r="B32" s="4" t="str">
        <f>+VLOOKUP($A32,Attributes_by_Interview!$A:$C,2,0)</f>
        <v>popular city</v>
      </c>
      <c r="C32" s="4">
        <f>+VLOOKUP($A32,Attributes_by_Interview!$A:$C,3,0)</f>
        <v>2</v>
      </c>
      <c r="D32" s="6"/>
    </row>
    <row r="33" spans="1:4" x14ac:dyDescent="0.3">
      <c r="A33" s="4">
        <f t="shared" si="0"/>
        <v>32</v>
      </c>
      <c r="B33" s="4" t="str">
        <f>+VLOOKUP($A33,Attributes_by_Interview!$A:$C,2,0)</f>
        <v>variety of hours for transportation</v>
      </c>
      <c r="C33" s="4">
        <f>+VLOOKUP($A33,Attributes_by_Interview!$A:$C,3,0)</f>
        <v>2</v>
      </c>
      <c r="D33" s="6"/>
    </row>
    <row r="34" spans="1:4" x14ac:dyDescent="0.3">
      <c r="A34" s="4">
        <f t="shared" si="0"/>
        <v>33</v>
      </c>
      <c r="B34" s="4" t="str">
        <f>+VLOOKUP($A34,Attributes_by_Interview!$A:$C,2,0)</f>
        <v>access to mountains</v>
      </c>
      <c r="C34" s="4">
        <f>+VLOOKUP($A34,Attributes_by_Interview!$A:$C,3,0)</f>
        <v>1</v>
      </c>
      <c r="D34" s="6"/>
    </row>
    <row r="35" spans="1:4" x14ac:dyDescent="0.3">
      <c r="A35" s="4">
        <f t="shared" si="0"/>
        <v>34</v>
      </c>
      <c r="B35" s="4" t="str">
        <f>+VLOOKUP($A35,Attributes_by_Interview!$A:$C,2,0)</f>
        <v>attraction availability</v>
      </c>
      <c r="C35" s="4">
        <f>+VLOOKUP($A35,Attributes_by_Interview!$A:$C,3,0)</f>
        <v>1</v>
      </c>
      <c r="D35" s="6"/>
    </row>
    <row r="36" spans="1:4" x14ac:dyDescent="0.3">
      <c r="A36" s="4">
        <f t="shared" si="0"/>
        <v>35</v>
      </c>
      <c r="B36" s="4" t="str">
        <f>+VLOOKUP($A36,Attributes_by_Interview!$A:$C,2,0)</f>
        <v>availability of city tours</v>
      </c>
      <c r="C36" s="4">
        <f>+VLOOKUP($A36,Attributes_by_Interview!$A:$C,3,0)</f>
        <v>1</v>
      </c>
      <c r="D36" s="6"/>
    </row>
    <row r="37" spans="1:4" x14ac:dyDescent="0.3">
      <c r="A37" s="4">
        <f t="shared" si="0"/>
        <v>36</v>
      </c>
      <c r="B37" s="4" t="str">
        <f>+VLOOKUP($A37,Attributes_by_Interview!$A:$C,2,0)</f>
        <v>availability of travel agencies</v>
      </c>
      <c r="C37" s="4">
        <f>+VLOOKUP($A37,Attributes_by_Interview!$A:$C,3,0)</f>
        <v>1</v>
      </c>
      <c r="D37" s="6"/>
    </row>
    <row r="38" spans="1:4" x14ac:dyDescent="0.3">
      <c r="A38" s="4">
        <f t="shared" si="0"/>
        <v>37</v>
      </c>
      <c r="B38" s="4" t="str">
        <f>+VLOOKUP($A38,Attributes_by_Interview!$A:$C,2,0)</f>
        <v>car friendly</v>
      </c>
      <c r="C38" s="4">
        <f>+VLOOKUP($A38,Attributes_by_Interview!$A:$C,3,0)</f>
        <v>1</v>
      </c>
      <c r="D38" s="6"/>
    </row>
    <row r="39" spans="1:4" x14ac:dyDescent="0.3">
      <c r="A39" s="4">
        <f t="shared" si="0"/>
        <v>38</v>
      </c>
      <c r="B39" s="4" t="str">
        <f>+VLOOKUP($A39,Attributes_by_Interview!$A:$C,2,0)</f>
        <v>destination size</v>
      </c>
      <c r="C39" s="4">
        <f>+VLOOKUP($A39,Attributes_by_Interview!$A:$C,3,0)</f>
        <v>1</v>
      </c>
      <c r="D39" s="6"/>
    </row>
    <row r="40" spans="1:4" x14ac:dyDescent="0.3">
      <c r="A40" s="4">
        <f t="shared" si="0"/>
        <v>39</v>
      </c>
      <c r="B40" s="4" t="str">
        <f>+VLOOKUP($A40,Attributes_by_Interview!$A:$C,2,0)</f>
        <v>events price</v>
      </c>
      <c r="C40" s="4">
        <f>+VLOOKUP($A40,Attributes_by_Interview!$A:$C,3,0)</f>
        <v>1</v>
      </c>
      <c r="D40" s="6"/>
    </row>
    <row r="41" spans="1:4" x14ac:dyDescent="0.3">
      <c r="A41" s="4">
        <f t="shared" si="0"/>
        <v>40</v>
      </c>
      <c r="B41" s="4" t="str">
        <f>+VLOOKUP($A41,Attributes_by_Interview!$A:$C,2,0)</f>
        <v>local experience</v>
      </c>
      <c r="C41" s="4">
        <f>+VLOOKUP($A41,Attributes_by_Interview!$A:$C,3,0)</f>
        <v>1</v>
      </c>
      <c r="D41" s="6"/>
    </row>
    <row r="42" spans="1:4" x14ac:dyDescent="0.3">
      <c r="A42" s="4">
        <f t="shared" si="0"/>
        <v>41</v>
      </c>
      <c r="B42" s="4" t="str">
        <f>+VLOOKUP($A42,Attributes_by_Interview!$A:$C,2,0)</f>
        <v>local restaurants</v>
      </c>
      <c r="C42" s="4">
        <f>+VLOOKUP($A42,Attributes_by_Interview!$A:$C,3,0)</f>
        <v>1</v>
      </c>
      <c r="D42" s="6"/>
    </row>
    <row r="43" spans="1:4" x14ac:dyDescent="0.3">
      <c r="A43" s="4">
        <f t="shared" si="0"/>
        <v>42</v>
      </c>
      <c r="B43" s="4" t="str">
        <f>+VLOOKUP($A43,Attributes_by_Interview!$A:$C,2,0)</f>
        <v>music events</v>
      </c>
      <c r="C43" s="4">
        <f>+VLOOKUP($A43,Attributes_by_Interview!$A:$C,3,0)</f>
        <v>1</v>
      </c>
      <c r="D43" s="6"/>
    </row>
    <row r="44" spans="1:4" x14ac:dyDescent="0.3">
      <c r="A44" s="4">
        <f t="shared" si="0"/>
        <v>43</v>
      </c>
      <c r="B44" s="4" t="str">
        <f>+VLOOKUP($A44,Attributes_by_Interview!$A:$C,2,0)</f>
        <v>music events cost</v>
      </c>
      <c r="C44" s="4">
        <f>+VLOOKUP($A44,Attributes_by_Interview!$A:$C,3,0)</f>
        <v>1</v>
      </c>
      <c r="D44" s="6"/>
    </row>
    <row r="45" spans="1:4" x14ac:dyDescent="0.3">
      <c r="A45" s="5">
        <f t="shared" si="0"/>
        <v>44</v>
      </c>
      <c r="B45" s="5" t="str">
        <f>+VLOOKUP($A45,Attributes_by_Interview!$A:$C,2,0)</f>
        <v>supermarket availability</v>
      </c>
      <c r="C45" s="5">
        <f>+VLOOKUP($A45,Attributes_by_Interview!$A:$C,3,0)</f>
        <v>1</v>
      </c>
      <c r="D45" s="7"/>
    </row>
  </sheetData>
  <conditionalFormatting sqref="D1:D1048576">
    <cfRule type="cellIs" dxfId="1" priority="1" operator="equal">
      <formula>"*"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89E4-D186-42D3-A4E8-3A21A6E3345B}">
  <dimension ref="A1:M45"/>
  <sheetViews>
    <sheetView showGridLines="0" workbookViewId="0">
      <pane ySplit="1" topLeftCell="A2" activePane="bottomLeft" state="frozen"/>
      <selection pane="bottomLeft" activeCell="D35" sqref="D35"/>
    </sheetView>
  </sheetViews>
  <sheetFormatPr baseColWidth="10" defaultRowHeight="14.4" x14ac:dyDescent="0.3"/>
  <cols>
    <col min="1" max="1" width="3" bestFit="1" customWidth="1"/>
    <col min="2" max="2" width="30.33203125" style="1" bestFit="1" customWidth="1"/>
    <col min="3" max="3" width="9.5546875" style="1" bestFit="1" customWidth="1"/>
    <col min="4" max="12" width="14.44140625" style="1" bestFit="1" customWidth="1"/>
    <col min="13" max="13" width="15.44140625" style="1" bestFit="1" customWidth="1"/>
  </cols>
  <sheetData>
    <row r="1" spans="1:13" x14ac:dyDescent="0.3">
      <c r="A1" s="3" t="s">
        <v>56</v>
      </c>
      <c r="B1" s="3" t="s">
        <v>0</v>
      </c>
      <c r="C1" s="3" t="s">
        <v>57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</row>
    <row r="2" spans="1:13" x14ac:dyDescent="0.3">
      <c r="A2" s="4">
        <f>+IF(COUNTIF($C$1:C1,C2)&gt;0,RANK(C2,$C$2:$C$45,0)+COUNTIF($C$1:C1,C2),RANK(C2,$C$2:$C$45,0))</f>
        <v>20</v>
      </c>
      <c r="B2" s="4" t="s">
        <v>19</v>
      </c>
      <c r="C2" s="4">
        <f>+SUM(D2:M2)</f>
        <v>3</v>
      </c>
      <c r="D2" s="4">
        <v>0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 x14ac:dyDescent="0.3">
      <c r="A3" s="4">
        <f>+IF(COUNTIF($C$1:C2,C3)&gt;0,RANK(C3,$C$2:$C$45,0)+COUNTIF($C$1:C2,C3),RANK(C3,$C$2:$C$45,0))</f>
        <v>33</v>
      </c>
      <c r="B3" s="4" t="s">
        <v>38</v>
      </c>
      <c r="C3" s="4">
        <f t="shared" ref="C3:C45" si="0">+SUM(D3:M3)</f>
        <v>1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4">
        <f>+IF(COUNTIF($C$1:C3,C4)&gt;0,RANK(C4,$C$2:$C$45,0)+COUNTIF($C$1:C3,C4),RANK(C4,$C$2:$C$45,0))</f>
        <v>5</v>
      </c>
      <c r="B4" s="4" t="s">
        <v>4</v>
      </c>
      <c r="C4" s="4">
        <f t="shared" si="0"/>
        <v>7</v>
      </c>
      <c r="D4" s="4">
        <v>1</v>
      </c>
      <c r="E4" s="4">
        <v>1</v>
      </c>
      <c r="F4" s="4">
        <v>0</v>
      </c>
      <c r="G4" s="4">
        <v>1</v>
      </c>
      <c r="H4" s="4">
        <v>1</v>
      </c>
      <c r="I4" s="4">
        <v>0</v>
      </c>
      <c r="J4" s="4">
        <v>1</v>
      </c>
      <c r="K4" s="4">
        <v>0</v>
      </c>
      <c r="L4" s="4">
        <v>1</v>
      </c>
      <c r="M4" s="4">
        <v>1</v>
      </c>
    </row>
    <row r="5" spans="1:13" x14ac:dyDescent="0.3">
      <c r="A5" s="4">
        <f>+IF(COUNTIF($C$1:C4,C5)&gt;0,RANK(C5,$C$2:$C$45,0)+COUNTIF($C$1:C4,C5),RANK(C5,$C$2:$C$45,0))</f>
        <v>25</v>
      </c>
      <c r="B5" s="4" t="s">
        <v>29</v>
      </c>
      <c r="C5" s="4">
        <f t="shared" si="0"/>
        <v>2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</v>
      </c>
      <c r="L5" s="4">
        <v>0</v>
      </c>
      <c r="M5" s="4">
        <v>0</v>
      </c>
    </row>
    <row r="6" spans="1:13" x14ac:dyDescent="0.3">
      <c r="A6" s="4">
        <f>+IF(COUNTIF($C$1:C5,C6)&gt;0,RANK(C6,$C$2:$C$45,0)+COUNTIF($C$1:C5,C6),RANK(C6,$C$2:$C$45,0))</f>
        <v>16</v>
      </c>
      <c r="B6" s="4" t="s">
        <v>24</v>
      </c>
      <c r="C6" s="4">
        <f t="shared" si="0"/>
        <v>4</v>
      </c>
      <c r="D6" s="4">
        <v>1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</v>
      </c>
      <c r="M6" s="4">
        <v>1</v>
      </c>
    </row>
    <row r="7" spans="1:13" x14ac:dyDescent="0.3">
      <c r="A7" s="4">
        <f>+IF(COUNTIF($C$1:C6,C7)&gt;0,RANK(C7,$C$2:$C$45,0)+COUNTIF($C$1:C6,C7),RANK(C7,$C$2:$C$45,0))</f>
        <v>7</v>
      </c>
      <c r="B7" s="4" t="s">
        <v>8</v>
      </c>
      <c r="C7" s="4">
        <f t="shared" si="0"/>
        <v>6</v>
      </c>
      <c r="D7" s="4">
        <v>0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1</v>
      </c>
      <c r="K7" s="4">
        <v>1</v>
      </c>
      <c r="L7" s="4">
        <v>1</v>
      </c>
      <c r="M7" s="4">
        <v>0</v>
      </c>
    </row>
    <row r="8" spans="1:13" x14ac:dyDescent="0.3">
      <c r="A8" s="4">
        <f>+IF(COUNTIF($C$1:C7,C8)&gt;0,RANK(C8,$C$2:$C$45,0)+COUNTIF($C$1:C7,C8),RANK(C8,$C$2:$C$45,0))</f>
        <v>26</v>
      </c>
      <c r="B8" s="4" t="s">
        <v>26</v>
      </c>
      <c r="C8" s="4">
        <f t="shared" si="0"/>
        <v>2</v>
      </c>
      <c r="D8" s="4">
        <v>0</v>
      </c>
      <c r="E8" s="4">
        <v>0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</row>
    <row r="9" spans="1:13" x14ac:dyDescent="0.3">
      <c r="A9" s="4">
        <f>+IF(COUNTIF($C$1:C8,C9)&gt;0,RANK(C9,$C$2:$C$45,0)+COUNTIF($C$1:C8,C9),RANK(C9,$C$2:$C$45,0))</f>
        <v>11</v>
      </c>
      <c r="B9" s="4" t="s">
        <v>11</v>
      </c>
      <c r="C9" s="4">
        <f t="shared" si="0"/>
        <v>5</v>
      </c>
      <c r="D9" s="4">
        <v>0</v>
      </c>
      <c r="E9" s="4">
        <v>1</v>
      </c>
      <c r="F9" s="4">
        <v>1</v>
      </c>
      <c r="G9" s="4">
        <v>0</v>
      </c>
      <c r="H9" s="4">
        <v>1</v>
      </c>
      <c r="I9" s="4">
        <v>0</v>
      </c>
      <c r="J9" s="4">
        <v>1</v>
      </c>
      <c r="K9" s="4">
        <v>0</v>
      </c>
      <c r="L9" s="4">
        <v>0</v>
      </c>
      <c r="M9" s="4">
        <v>1</v>
      </c>
    </row>
    <row r="10" spans="1:13" x14ac:dyDescent="0.3">
      <c r="A10" s="4">
        <f>+IF(COUNTIF($C$1:C9,C10)&gt;0,RANK(C10,$C$2:$C$45,0)+COUNTIF($C$1:C9,C10),RANK(C10,$C$2:$C$45,0))</f>
        <v>1</v>
      </c>
      <c r="B10" s="4" t="s">
        <v>3</v>
      </c>
      <c r="C10" s="4">
        <f t="shared" si="0"/>
        <v>9</v>
      </c>
      <c r="D10" s="4">
        <v>1</v>
      </c>
      <c r="E10" s="4">
        <v>1</v>
      </c>
      <c r="F10" s="4">
        <v>1</v>
      </c>
      <c r="G10" s="4">
        <v>1</v>
      </c>
      <c r="H10" s="4">
        <v>0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</row>
    <row r="11" spans="1:13" x14ac:dyDescent="0.3">
      <c r="A11" s="4">
        <f>+IF(COUNTIF($C$1:C10,C11)&gt;0,RANK(C11,$C$2:$C$45,0)+COUNTIF($C$1:C10,C11),RANK(C11,$C$2:$C$45,0))</f>
        <v>34</v>
      </c>
      <c r="B11" s="4" t="s">
        <v>44</v>
      </c>
      <c r="C11" s="4">
        <f t="shared" si="0"/>
        <v>1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4">
        <f>+IF(COUNTIF($C$1:C11,C12)&gt;0,RANK(C12,$C$2:$C$45,0)+COUNTIF($C$1:C11,C12),RANK(C12,$C$2:$C$45,0))</f>
        <v>35</v>
      </c>
      <c r="B12" s="4" t="s">
        <v>34</v>
      </c>
      <c r="C12" s="4">
        <f t="shared" si="0"/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0</v>
      </c>
    </row>
    <row r="13" spans="1:13" x14ac:dyDescent="0.3">
      <c r="A13" s="4">
        <f>+IF(COUNTIF($C$1:C12,C13)&gt;0,RANK(C13,$C$2:$C$45,0)+COUNTIF($C$1:C12,C13),RANK(C13,$C$2:$C$45,0))</f>
        <v>12</v>
      </c>
      <c r="B13" s="4" t="s">
        <v>12</v>
      </c>
      <c r="C13" s="4">
        <f t="shared" si="0"/>
        <v>5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1</v>
      </c>
      <c r="J13" s="4">
        <v>1</v>
      </c>
      <c r="K13" s="4">
        <v>0</v>
      </c>
      <c r="L13" s="4">
        <v>1</v>
      </c>
      <c r="M13" s="4">
        <v>1</v>
      </c>
    </row>
    <row r="14" spans="1:13" x14ac:dyDescent="0.3">
      <c r="A14" s="4">
        <f>+IF(COUNTIF($C$1:C13,C14)&gt;0,RANK(C14,$C$2:$C$45,0)+COUNTIF($C$1:C13,C14),RANK(C14,$C$2:$C$45,0))</f>
        <v>36</v>
      </c>
      <c r="B14" s="4" t="s">
        <v>43</v>
      </c>
      <c r="C14" s="4">
        <f t="shared" si="0"/>
        <v>1</v>
      </c>
      <c r="D14" s="4">
        <v>0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3">
      <c r="A15" s="4">
        <f>+IF(COUNTIF($C$1:C14,C15)&gt;0,RANK(C15,$C$2:$C$45,0)+COUNTIF($C$1:C14,C15),RANK(C15,$C$2:$C$45,0))</f>
        <v>37</v>
      </c>
      <c r="B15" s="4" t="s">
        <v>42</v>
      </c>
      <c r="C15" s="4">
        <f t="shared" si="0"/>
        <v>1</v>
      </c>
      <c r="D15" s="4">
        <v>0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4">
        <f>+IF(COUNTIF($C$1:C15,C16)&gt;0,RANK(C16,$C$2:$C$45,0)+COUNTIF($C$1:C15,C16),RANK(C16,$C$2:$C$45,0))</f>
        <v>27</v>
      </c>
      <c r="B16" s="4" t="s">
        <v>23</v>
      </c>
      <c r="C16" s="4">
        <f t="shared" si="0"/>
        <v>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  <c r="L16" s="4">
        <v>1</v>
      </c>
      <c r="M16" s="4">
        <v>0</v>
      </c>
    </row>
    <row r="17" spans="1:13" x14ac:dyDescent="0.3">
      <c r="A17" s="4">
        <f>+IF(COUNTIF($C$1:C16,C17)&gt;0,RANK(C17,$C$2:$C$45,0)+COUNTIF($C$1:C16,C17),RANK(C17,$C$2:$C$45,0))</f>
        <v>6</v>
      </c>
      <c r="B17" s="4" t="s">
        <v>5</v>
      </c>
      <c r="C17" s="4">
        <f t="shared" si="0"/>
        <v>7</v>
      </c>
      <c r="D17" s="4">
        <v>1</v>
      </c>
      <c r="E17" s="4">
        <v>0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0</v>
      </c>
      <c r="L17" s="4">
        <v>0</v>
      </c>
      <c r="M17" s="4">
        <v>1</v>
      </c>
    </row>
    <row r="18" spans="1:13" x14ac:dyDescent="0.3">
      <c r="A18" s="4">
        <f>+IF(COUNTIF($C$1:C17,C18)&gt;0,RANK(C18,$C$2:$C$45,0)+COUNTIF($C$1:C17,C18),RANK(C18,$C$2:$C$45,0))</f>
        <v>13</v>
      </c>
      <c r="B18" s="4" t="s">
        <v>13</v>
      </c>
      <c r="C18" s="4">
        <f t="shared" si="0"/>
        <v>5</v>
      </c>
      <c r="D18" s="4">
        <v>1</v>
      </c>
      <c r="E18" s="4">
        <v>1</v>
      </c>
      <c r="F18" s="4">
        <v>1</v>
      </c>
      <c r="G18" s="4">
        <v>0</v>
      </c>
      <c r="H18" s="4">
        <v>0</v>
      </c>
      <c r="I18" s="4">
        <v>0</v>
      </c>
      <c r="J18" s="4">
        <v>0</v>
      </c>
      <c r="K18" s="4">
        <v>1</v>
      </c>
      <c r="L18" s="4">
        <v>0</v>
      </c>
      <c r="M18" s="4">
        <v>1</v>
      </c>
    </row>
    <row r="19" spans="1:13" x14ac:dyDescent="0.3">
      <c r="A19" s="4">
        <f>+IF(COUNTIF($C$1:C18,C19)&gt;0,RANK(C19,$C$2:$C$45,0)+COUNTIF($C$1:C18,C19),RANK(C19,$C$2:$C$45,0))</f>
        <v>38</v>
      </c>
      <c r="B19" s="4" t="s">
        <v>35</v>
      </c>
      <c r="C19" s="4">
        <f t="shared" si="0"/>
        <v>1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4">
        <f>+IF(COUNTIF($C$1:C19,C20)&gt;0,RANK(C20,$C$2:$C$45,0)+COUNTIF($C$1:C19,C20),RANK(C20,$C$2:$C$45,0))</f>
        <v>8</v>
      </c>
      <c r="B20" s="4" t="s">
        <v>7</v>
      </c>
      <c r="C20" s="4">
        <f t="shared" si="0"/>
        <v>6</v>
      </c>
      <c r="D20" s="4">
        <v>1</v>
      </c>
      <c r="E20" s="4">
        <v>0</v>
      </c>
      <c r="F20" s="4">
        <v>1</v>
      </c>
      <c r="G20" s="4">
        <v>1</v>
      </c>
      <c r="H20" s="4">
        <v>0</v>
      </c>
      <c r="I20" s="4">
        <v>1</v>
      </c>
      <c r="J20" s="4">
        <v>1</v>
      </c>
      <c r="K20" s="4">
        <v>0</v>
      </c>
      <c r="L20" s="4">
        <v>1</v>
      </c>
      <c r="M20" s="4">
        <v>0</v>
      </c>
    </row>
    <row r="21" spans="1:13" x14ac:dyDescent="0.3">
      <c r="A21" s="4">
        <f>+IF(COUNTIF($C$1:C20,C21)&gt;0,RANK(C21,$C$2:$C$45,0)+COUNTIF($C$1:C20,C21),RANK(C21,$C$2:$C$45,0))</f>
        <v>39</v>
      </c>
      <c r="B21" s="4" t="s">
        <v>39</v>
      </c>
      <c r="C21" s="4">
        <f t="shared" si="0"/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</row>
    <row r="22" spans="1:13" x14ac:dyDescent="0.3">
      <c r="A22" s="4">
        <f>+IF(COUNTIF($C$1:C21,C22)&gt;0,RANK(C22,$C$2:$C$45,0)+COUNTIF($C$1:C21,C22),RANK(C22,$C$2:$C$45,0))</f>
        <v>14</v>
      </c>
      <c r="B22" s="4" t="s">
        <v>28</v>
      </c>
      <c r="C22" s="4">
        <f t="shared" si="0"/>
        <v>5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4">
        <v>1</v>
      </c>
      <c r="K22" s="4">
        <v>1</v>
      </c>
      <c r="L22" s="4">
        <v>0</v>
      </c>
      <c r="M22" s="4">
        <v>1</v>
      </c>
    </row>
    <row r="23" spans="1:13" x14ac:dyDescent="0.3">
      <c r="A23" s="4">
        <f>+IF(COUNTIF($C$1:C22,C23)&gt;0,RANK(C23,$C$2:$C$45,0)+COUNTIF($C$1:C22,C23),RANK(C23,$C$2:$C$45,0))</f>
        <v>28</v>
      </c>
      <c r="B23" s="4" t="s">
        <v>27</v>
      </c>
      <c r="C23" s="4">
        <f t="shared" si="0"/>
        <v>2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</v>
      </c>
      <c r="M23" s="4">
        <v>0</v>
      </c>
    </row>
    <row r="24" spans="1:13" x14ac:dyDescent="0.3">
      <c r="A24" s="4">
        <f>+IF(COUNTIF($C$1:C23,C24)&gt;0,RANK(C24,$C$2:$C$45,0)+COUNTIF($C$1:C23,C24),RANK(C24,$C$2:$C$45,0))</f>
        <v>29</v>
      </c>
      <c r="B24" s="4" t="s">
        <v>31</v>
      </c>
      <c r="C24" s="4">
        <f t="shared" si="0"/>
        <v>2</v>
      </c>
      <c r="D24" s="4">
        <v>1</v>
      </c>
      <c r="E24" s="4">
        <v>0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3">
      <c r="A25" s="4">
        <f>+IF(COUNTIF($C$1:C24,C25)&gt;0,RANK(C25,$C$2:$C$45,0)+COUNTIF($C$1:C24,C25),RANK(C25,$C$2:$C$45,0))</f>
        <v>9</v>
      </c>
      <c r="B25" s="4" t="s">
        <v>33</v>
      </c>
      <c r="C25" s="4">
        <f t="shared" si="0"/>
        <v>6</v>
      </c>
      <c r="D25" s="4">
        <v>1</v>
      </c>
      <c r="E25" s="4">
        <v>1</v>
      </c>
      <c r="F25" s="4">
        <v>0</v>
      </c>
      <c r="G25" s="4">
        <v>0</v>
      </c>
      <c r="H25" s="4">
        <v>1</v>
      </c>
      <c r="I25" s="4">
        <v>1</v>
      </c>
      <c r="J25" s="4">
        <v>1</v>
      </c>
      <c r="K25" s="4">
        <v>0</v>
      </c>
      <c r="L25" s="4">
        <v>0</v>
      </c>
      <c r="M25" s="4">
        <v>1</v>
      </c>
    </row>
    <row r="26" spans="1:13" x14ac:dyDescent="0.3">
      <c r="A26" s="4">
        <f>+IF(COUNTIF($C$1:C25,C26)&gt;0,RANK(C26,$C$2:$C$45,0)+COUNTIF($C$1:C25,C26),RANK(C26,$C$2:$C$45,0))</f>
        <v>17</v>
      </c>
      <c r="B26" s="4" t="s">
        <v>25</v>
      </c>
      <c r="C26" s="4">
        <f t="shared" si="0"/>
        <v>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</v>
      </c>
      <c r="J26" s="4">
        <v>1</v>
      </c>
      <c r="K26" s="4">
        <v>0</v>
      </c>
      <c r="L26" s="4">
        <v>1</v>
      </c>
      <c r="M26" s="4">
        <v>1</v>
      </c>
    </row>
    <row r="27" spans="1:13" x14ac:dyDescent="0.3">
      <c r="A27" s="4">
        <f>+IF(COUNTIF($C$1:C26,C27)&gt;0,RANK(C27,$C$2:$C$45,0)+COUNTIF($C$1:C26,C27),RANK(C27,$C$2:$C$45,0))</f>
        <v>21</v>
      </c>
      <c r="B27" s="4" t="s">
        <v>30</v>
      </c>
      <c r="C27" s="4">
        <f t="shared" si="0"/>
        <v>3</v>
      </c>
      <c r="D27" s="4">
        <v>1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</v>
      </c>
      <c r="M27" s="4">
        <v>0</v>
      </c>
    </row>
    <row r="28" spans="1:13" x14ac:dyDescent="0.3">
      <c r="A28" s="4">
        <f>+IF(COUNTIF($C$1:C27,C28)&gt;0,RANK(C28,$C$2:$C$45,0)+COUNTIF($C$1:C27,C28),RANK(C28,$C$2:$C$45,0))</f>
        <v>4</v>
      </c>
      <c r="B28" s="4" t="s">
        <v>9</v>
      </c>
      <c r="C28" s="4">
        <f t="shared" si="0"/>
        <v>8</v>
      </c>
      <c r="D28" s="4">
        <v>1</v>
      </c>
      <c r="E28" s="4">
        <v>1</v>
      </c>
      <c r="F28" s="4">
        <v>1</v>
      </c>
      <c r="G28" s="4">
        <v>0</v>
      </c>
      <c r="H28" s="4">
        <v>1</v>
      </c>
      <c r="I28" s="4">
        <v>0</v>
      </c>
      <c r="J28" s="4">
        <v>1</v>
      </c>
      <c r="K28" s="4">
        <v>1</v>
      </c>
      <c r="L28" s="4">
        <v>1</v>
      </c>
      <c r="M28" s="4">
        <v>1</v>
      </c>
    </row>
    <row r="29" spans="1:13" x14ac:dyDescent="0.3">
      <c r="A29" s="4">
        <f>+IF(COUNTIF($C$1:C28,C29)&gt;0,RANK(C29,$C$2:$C$45,0)+COUNTIF($C$1:C28,C29),RANK(C29,$C$2:$C$45,0))</f>
        <v>10</v>
      </c>
      <c r="B29" s="4" t="s">
        <v>6</v>
      </c>
      <c r="C29" s="4">
        <f t="shared" si="0"/>
        <v>6</v>
      </c>
      <c r="D29" s="4">
        <v>1</v>
      </c>
      <c r="E29" s="4">
        <v>0</v>
      </c>
      <c r="F29" s="4">
        <v>1</v>
      </c>
      <c r="G29" s="4">
        <v>1</v>
      </c>
      <c r="H29" s="4">
        <v>1</v>
      </c>
      <c r="I29" s="4">
        <v>0</v>
      </c>
      <c r="J29" s="4">
        <v>1</v>
      </c>
      <c r="K29" s="4">
        <v>1</v>
      </c>
      <c r="L29" s="4">
        <v>0</v>
      </c>
      <c r="M29" s="4">
        <v>0</v>
      </c>
    </row>
    <row r="30" spans="1:13" x14ac:dyDescent="0.3">
      <c r="A30" s="4">
        <f>+IF(COUNTIF($C$1:C29,C30)&gt;0,RANK(C30,$C$2:$C$45,0)+COUNTIF($C$1:C29,C30),RANK(C30,$C$2:$C$45,0))</f>
        <v>40</v>
      </c>
      <c r="B30" s="4" t="s">
        <v>41</v>
      </c>
      <c r="C30" s="4">
        <f t="shared" si="0"/>
        <v>1</v>
      </c>
      <c r="D30" s="4">
        <v>0</v>
      </c>
      <c r="E30" s="4">
        <v>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r="31" spans="1:13" x14ac:dyDescent="0.3">
      <c r="A31" s="4">
        <f>+IF(COUNTIF($C$1:C30,C31)&gt;0,RANK(C31,$C$2:$C$45,0)+COUNTIF($C$1:C30,C31),RANK(C31,$C$2:$C$45,0))</f>
        <v>30</v>
      </c>
      <c r="B31" s="4" t="s">
        <v>22</v>
      </c>
      <c r="C31" s="4">
        <f t="shared" si="0"/>
        <v>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</v>
      </c>
      <c r="K31" s="4">
        <v>0</v>
      </c>
      <c r="L31" s="4">
        <v>0</v>
      </c>
      <c r="M31" s="4">
        <v>1</v>
      </c>
    </row>
    <row r="32" spans="1:13" x14ac:dyDescent="0.3">
      <c r="A32" s="4">
        <f>+IF(COUNTIF($C$1:C31,C32)&gt;0,RANK(C32,$C$2:$C$45,0)+COUNTIF($C$1:C31,C32),RANK(C32,$C$2:$C$45,0))</f>
        <v>18</v>
      </c>
      <c r="B32" s="4" t="s">
        <v>16</v>
      </c>
      <c r="C32" s="4">
        <f t="shared" si="0"/>
        <v>4</v>
      </c>
      <c r="D32" s="4">
        <v>1</v>
      </c>
      <c r="E32" s="4">
        <v>1</v>
      </c>
      <c r="F32" s="4">
        <v>0</v>
      </c>
      <c r="G32" s="4">
        <v>1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 x14ac:dyDescent="0.3">
      <c r="A33" s="4">
        <f>+IF(COUNTIF($C$1:C32,C33)&gt;0,RANK(C33,$C$2:$C$45,0)+COUNTIF($C$1:C32,C33),RANK(C33,$C$2:$C$45,0))</f>
        <v>41</v>
      </c>
      <c r="B33" s="4" t="s">
        <v>40</v>
      </c>
      <c r="C33" s="4">
        <f t="shared" si="0"/>
        <v>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</v>
      </c>
      <c r="K33" s="4">
        <v>0</v>
      </c>
      <c r="L33" s="4">
        <v>0</v>
      </c>
      <c r="M33" s="4">
        <v>0</v>
      </c>
    </row>
    <row r="34" spans="1:13" x14ac:dyDescent="0.3">
      <c r="A34" s="4">
        <f>+IF(COUNTIF($C$1:C33,C34)&gt;0,RANK(C34,$C$2:$C$45,0)+COUNTIF($C$1:C33,C34),RANK(C34,$C$2:$C$45,0))</f>
        <v>22</v>
      </c>
      <c r="B34" s="4" t="s">
        <v>18</v>
      </c>
      <c r="C34" s="4">
        <f t="shared" si="0"/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  <c r="L34" s="4">
        <v>1</v>
      </c>
      <c r="M34" s="4">
        <v>1</v>
      </c>
    </row>
    <row r="35" spans="1:13" x14ac:dyDescent="0.3">
      <c r="A35" s="4">
        <f>+IF(COUNTIF($C$1:C34,C35)&gt;0,RANK(C35,$C$2:$C$45,0)+COUNTIF($C$1:C34,C35),RANK(C35,$C$2:$C$45,0))</f>
        <v>42</v>
      </c>
      <c r="B35" s="4" t="s">
        <v>32</v>
      </c>
      <c r="C35" s="4">
        <f t="shared" si="0"/>
        <v>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</v>
      </c>
      <c r="L35" s="4">
        <v>0</v>
      </c>
      <c r="M35" s="4">
        <v>0</v>
      </c>
    </row>
    <row r="36" spans="1:13" x14ac:dyDescent="0.3">
      <c r="A36" s="4">
        <f>+IF(COUNTIF($C$1:C35,C36)&gt;0,RANK(C36,$C$2:$C$45,0)+COUNTIF($C$1:C35,C36),RANK(C36,$C$2:$C$45,0))</f>
        <v>43</v>
      </c>
      <c r="B36" s="4" t="s">
        <v>36</v>
      </c>
      <c r="C36" s="4">
        <f t="shared" si="0"/>
        <v>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</row>
    <row r="37" spans="1:13" x14ac:dyDescent="0.3">
      <c r="A37" s="4">
        <f>+IF(COUNTIF($C$1:C36,C37)&gt;0,RANK(C37,$C$2:$C$45,0)+COUNTIF($C$1:C36,C37),RANK(C37,$C$2:$C$45,0))</f>
        <v>19</v>
      </c>
      <c r="B37" s="4" t="s">
        <v>14</v>
      </c>
      <c r="C37" s="4">
        <f t="shared" si="0"/>
        <v>4</v>
      </c>
      <c r="D37" s="4">
        <v>1</v>
      </c>
      <c r="E37" s="4">
        <v>1</v>
      </c>
      <c r="F37" s="4">
        <v>1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 x14ac:dyDescent="0.3">
      <c r="A38" s="4">
        <f>+IF(COUNTIF($C$1:C37,C38)&gt;0,RANK(C38,$C$2:$C$45,0)+COUNTIF($C$1:C37,C38),RANK(C38,$C$2:$C$45,0))</f>
        <v>2</v>
      </c>
      <c r="B38" s="4" t="s">
        <v>15</v>
      </c>
      <c r="C38" s="4">
        <f t="shared" si="0"/>
        <v>9</v>
      </c>
      <c r="D38" s="4">
        <v>1</v>
      </c>
      <c r="E38" s="4">
        <v>1</v>
      </c>
      <c r="F38" s="4">
        <v>1</v>
      </c>
      <c r="G38" s="4">
        <v>1</v>
      </c>
      <c r="H38" s="4">
        <v>0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</row>
    <row r="39" spans="1:13" x14ac:dyDescent="0.3">
      <c r="A39" s="4">
        <f>+IF(COUNTIF($C$1:C38,C39)&gt;0,RANK(C39,$C$2:$C$45,0)+COUNTIF($C$1:C38,C39),RANK(C39,$C$2:$C$45,0))</f>
        <v>23</v>
      </c>
      <c r="B39" s="4" t="s">
        <v>17</v>
      </c>
      <c r="C39" s="4">
        <f t="shared" si="0"/>
        <v>3</v>
      </c>
      <c r="D39" s="4">
        <v>0</v>
      </c>
      <c r="E39" s="4">
        <v>0</v>
      </c>
      <c r="F39" s="4">
        <v>0</v>
      </c>
      <c r="G39" s="4">
        <v>0</v>
      </c>
      <c r="H39" s="4">
        <v>1</v>
      </c>
      <c r="I39" s="4">
        <v>0</v>
      </c>
      <c r="J39" s="4">
        <v>1</v>
      </c>
      <c r="K39" s="4">
        <v>1</v>
      </c>
      <c r="L39" s="4">
        <v>0</v>
      </c>
      <c r="M39" s="4">
        <v>0</v>
      </c>
    </row>
    <row r="40" spans="1:13" x14ac:dyDescent="0.3">
      <c r="A40" s="4">
        <f>+IF(COUNTIF($C$1:C39,C40)&gt;0,RANK(C40,$C$2:$C$45,0)+COUNTIF($C$1:C39,C40),RANK(C40,$C$2:$C$45,0))</f>
        <v>31</v>
      </c>
      <c r="B40" s="4" t="s">
        <v>20</v>
      </c>
      <c r="C40" s="4">
        <f t="shared" si="0"/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1</v>
      </c>
    </row>
    <row r="41" spans="1:13" x14ac:dyDescent="0.3">
      <c r="A41" s="4">
        <f>+IF(COUNTIF($C$1:C40,C41)&gt;0,RANK(C41,$C$2:$C$45,0)+COUNTIF($C$1:C40,C41),RANK(C41,$C$2:$C$45,0))</f>
        <v>3</v>
      </c>
      <c r="B41" s="4" t="s">
        <v>2</v>
      </c>
      <c r="C41" s="4">
        <f t="shared" si="0"/>
        <v>9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0</v>
      </c>
      <c r="K41" s="4">
        <v>1</v>
      </c>
      <c r="L41" s="4">
        <v>1</v>
      </c>
      <c r="M41" s="4">
        <v>1</v>
      </c>
    </row>
    <row r="42" spans="1:13" x14ac:dyDescent="0.3">
      <c r="A42" s="4">
        <f>+IF(COUNTIF($C$1:C41,C42)&gt;0,RANK(C42,$C$2:$C$45,0)+COUNTIF($C$1:C41,C42),RANK(C42,$C$2:$C$45,0))</f>
        <v>15</v>
      </c>
      <c r="B42" s="4" t="s">
        <v>10</v>
      </c>
      <c r="C42" s="4">
        <f t="shared" si="0"/>
        <v>5</v>
      </c>
      <c r="D42" s="4">
        <v>0</v>
      </c>
      <c r="E42" s="4">
        <v>1</v>
      </c>
      <c r="F42" s="4">
        <v>1</v>
      </c>
      <c r="G42" s="4">
        <v>0</v>
      </c>
      <c r="H42" s="4">
        <v>1</v>
      </c>
      <c r="I42" s="4">
        <v>1</v>
      </c>
      <c r="J42" s="4">
        <v>0</v>
      </c>
      <c r="K42" s="4">
        <v>0</v>
      </c>
      <c r="L42" s="4">
        <v>1</v>
      </c>
      <c r="M42" s="4">
        <v>0</v>
      </c>
    </row>
    <row r="43" spans="1:13" x14ac:dyDescent="0.3">
      <c r="A43" s="4">
        <f>+IF(COUNTIF($C$1:C42,C43)&gt;0,RANK(C43,$C$2:$C$45,0)+COUNTIF($C$1:C42,C43),RANK(C43,$C$2:$C$45,0))</f>
        <v>24</v>
      </c>
      <c r="B43" s="4" t="s">
        <v>45</v>
      </c>
      <c r="C43" s="4">
        <f t="shared" si="0"/>
        <v>3</v>
      </c>
      <c r="D43" s="4">
        <v>0</v>
      </c>
      <c r="E43" s="4">
        <v>0</v>
      </c>
      <c r="F43" s="4">
        <v>1</v>
      </c>
      <c r="G43" s="4">
        <v>1</v>
      </c>
      <c r="H43" s="4">
        <v>0</v>
      </c>
      <c r="I43" s="4">
        <v>0</v>
      </c>
      <c r="J43" s="4">
        <v>1</v>
      </c>
      <c r="K43" s="4">
        <v>0</v>
      </c>
      <c r="L43" s="4">
        <v>0</v>
      </c>
      <c r="M43" s="4">
        <v>0</v>
      </c>
    </row>
    <row r="44" spans="1:13" x14ac:dyDescent="0.3">
      <c r="A44" s="4">
        <f>+IF(COUNTIF($C$1:C43,C44)&gt;0,RANK(C44,$C$2:$C$45,0)+COUNTIF($C$1:C43,C44),RANK(C44,$C$2:$C$45,0))</f>
        <v>44</v>
      </c>
      <c r="B44" s="4" t="s">
        <v>37</v>
      </c>
      <c r="C44" s="4">
        <f t="shared" si="0"/>
        <v>1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</row>
    <row r="45" spans="1:13" x14ac:dyDescent="0.3">
      <c r="A45" s="5">
        <f>+IF(COUNTIF($C$1:C44,C45)&gt;0,RANK(C45,$C$2:$C$45,0)+COUNTIF($C$1:C44,C45),RANK(C45,$C$2:$C$45,0))</f>
        <v>32</v>
      </c>
      <c r="B45" s="5" t="s">
        <v>21</v>
      </c>
      <c r="C45" s="5">
        <f t="shared" si="0"/>
        <v>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1</v>
      </c>
      <c r="M45" s="5">
        <v>1</v>
      </c>
    </row>
  </sheetData>
  <autoFilter ref="B1:M1" xr:uid="{374489E4-D186-42D3-A4E8-3A21A6E3345B}"/>
  <conditionalFormatting sqref="D2:M45">
    <cfRule type="cellIs" dxfId="0" priority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89AE66-A906-454E-A90F-E4DA1B21A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Attribute_Frequency_Table</vt:lpstr>
      <vt:lpstr>Attributes_by_Interview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Bonifacini</dc:creator>
  <cp:lastModifiedBy>Franco Bonifacini</cp:lastModifiedBy>
  <dcterms:created xsi:type="dcterms:W3CDTF">2025-08-06T23:30:51Z</dcterms:created>
  <dcterms:modified xsi:type="dcterms:W3CDTF">2025-08-06T23:59:06Z</dcterms:modified>
</cp:coreProperties>
</file>