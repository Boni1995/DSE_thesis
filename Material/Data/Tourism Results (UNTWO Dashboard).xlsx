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cuments\GitHub\DSE_thesis\Additional Material\Data\"/>
    </mc:Choice>
  </mc:AlternateContent>
  <xr:revisionPtr revIDLastSave="0" documentId="13_ncr:1_{F50F1A2E-C0E6-47F0-A0A5-001325BD4504}" xr6:coauthVersionLast="47" xr6:coauthVersionMax="47" xr10:uidLastSave="{00000000-0000-0000-0000-000000000000}"/>
  <bookViews>
    <workbookView xWindow="-108" yWindow="-108" windowWidth="23256" windowHeight="12456" activeTab="4" xr2:uid="{AEF7DD6B-F11D-4AC0-A1CD-1EED61BA63E3}"/>
  </bookViews>
  <sheets>
    <sheet name="global" sheetId="1" r:id="rId1"/>
    <sheet name="region" sheetId="2" r:id="rId2"/>
    <sheet name="region_absolut" sheetId="5" r:id="rId3"/>
    <sheet name="AUX region" sheetId="3" r:id="rId4"/>
    <sheet name="countri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2" i="5"/>
  <c r="F11" i="4"/>
  <c r="F10" i="4"/>
  <c r="F9" i="4"/>
  <c r="F8" i="4"/>
  <c r="F7" i="4"/>
  <c r="F6" i="4"/>
  <c r="F5" i="4"/>
  <c r="F4" i="4"/>
  <c r="F3" i="4"/>
  <c r="F2" i="4"/>
  <c r="E11" i="4"/>
  <c r="E10" i="4"/>
  <c r="E9" i="4"/>
  <c r="E8" i="4"/>
  <c r="E7" i="4"/>
  <c r="E6" i="4"/>
  <c r="E5" i="4"/>
  <c r="E4" i="4"/>
  <c r="E3" i="4"/>
  <c r="E2" i="4"/>
  <c r="D11" i="4"/>
  <c r="D10" i="4"/>
  <c r="D9" i="4"/>
  <c r="D8" i="4"/>
  <c r="D7" i="4"/>
  <c r="D6" i="4"/>
  <c r="D5" i="4"/>
  <c r="D4" i="4"/>
  <c r="D3" i="4"/>
  <c r="D2" i="4"/>
  <c r="C7" i="2"/>
  <c r="C6" i="2"/>
  <c r="C5" i="2"/>
  <c r="C4" i="2"/>
  <c r="C3" i="2"/>
  <c r="C2" i="2"/>
  <c r="B7" i="2"/>
  <c r="B6" i="2"/>
  <c r="B5" i="2"/>
  <c r="B4" i="2"/>
  <c r="B3" i="2"/>
  <c r="B2" i="2"/>
  <c r="A3" i="1"/>
  <c r="A4" i="1" s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<sst xmlns="http://schemas.openxmlformats.org/spreadsheetml/2006/main" count="47" uniqueCount="28">
  <si>
    <t>Arrivals (in millions)</t>
  </si>
  <si>
    <t>Receipts (USD billion)</t>
  </si>
  <si>
    <t>Year</t>
  </si>
  <si>
    <t>Middle East</t>
  </si>
  <si>
    <t>Africa</t>
  </si>
  <si>
    <t>Europe</t>
  </si>
  <si>
    <t>Americas</t>
  </si>
  <si>
    <t>World</t>
  </si>
  <si>
    <t>Region</t>
  </si>
  <si>
    <t>Arrivals</t>
  </si>
  <si>
    <t>Receipts</t>
  </si>
  <si>
    <t>Asia &amp; Pacific</t>
  </si>
  <si>
    <t>Country</t>
  </si>
  <si>
    <t>France</t>
  </si>
  <si>
    <t>Spain</t>
  </si>
  <si>
    <t>United States</t>
  </si>
  <si>
    <t>China</t>
  </si>
  <si>
    <t xml:space="preserve">Italy </t>
  </si>
  <si>
    <t>Türkiye</t>
  </si>
  <si>
    <t>Mexico</t>
  </si>
  <si>
    <t>Thailand</t>
  </si>
  <si>
    <t>Germany</t>
  </si>
  <si>
    <t>UK</t>
  </si>
  <si>
    <t>Avg. Per Tourist</t>
  </si>
  <si>
    <t>Receipts (in billions)</t>
  </si>
  <si>
    <t>2019 (position)</t>
  </si>
  <si>
    <t>Movement</t>
  </si>
  <si>
    <t>2024 (position)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</si>
</sst>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22F7-FC14-4D38-9EBB-E3B6195574F0}">
  <dimension ref="A1:C10"/>
  <sheetViews>
    <sheetView workbookViewId="0">
      <selection activeCell="C23" sqref="C23"/>
    </sheetView>
  </sheetViews>
  <sheetFormatPr baseColWidth="10" defaultRowHeight="14.4" x14ac:dyDescent="0.3"/>
  <cols>
    <col min="1" max="1" width="5" style="1" bestFit="1" customWidth="1"/>
    <col min="2" max="2" width="17.77734375" style="1" bestFit="1" customWidth="1"/>
    <col min="3" max="3" width="19.33203125" style="1" bestFit="1" customWidth="1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x14ac:dyDescent="0.3">
      <c r="A2" s="1">
        <v>2016</v>
      </c>
      <c r="B2" s="3">
        <v>1246</v>
      </c>
      <c r="C2" s="3">
        <v>1245</v>
      </c>
    </row>
    <row r="3" spans="1:3" x14ac:dyDescent="0.3">
      <c r="A3" s="1">
        <f t="shared" ref="A3:A10" si="0">+A2+1</f>
        <v>2017</v>
      </c>
      <c r="B3" s="3">
        <v>1338</v>
      </c>
      <c r="C3" s="3">
        <v>1346</v>
      </c>
    </row>
    <row r="4" spans="1:3" x14ac:dyDescent="0.3">
      <c r="A4" s="1">
        <f t="shared" si="0"/>
        <v>2018</v>
      </c>
      <c r="B4" s="3">
        <v>1415</v>
      </c>
      <c r="C4" s="3">
        <v>1457</v>
      </c>
    </row>
    <row r="5" spans="1:3" x14ac:dyDescent="0.3">
      <c r="A5" s="1">
        <f t="shared" si="0"/>
        <v>2019</v>
      </c>
      <c r="B5" s="3">
        <v>1466</v>
      </c>
      <c r="C5" s="3">
        <v>1487</v>
      </c>
    </row>
    <row r="6" spans="1:3" x14ac:dyDescent="0.3">
      <c r="A6" s="1">
        <f t="shared" si="0"/>
        <v>2020</v>
      </c>
      <c r="B6" s="3">
        <v>407.9</v>
      </c>
      <c r="C6" s="3">
        <v>557.9</v>
      </c>
    </row>
    <row r="7" spans="1:3" x14ac:dyDescent="0.3">
      <c r="A7" s="1">
        <f t="shared" si="0"/>
        <v>2021</v>
      </c>
      <c r="B7" s="3">
        <v>461.4</v>
      </c>
      <c r="C7" s="3">
        <v>655.4</v>
      </c>
    </row>
    <row r="8" spans="1:3" x14ac:dyDescent="0.3">
      <c r="A8" s="1">
        <f t="shared" si="0"/>
        <v>2022</v>
      </c>
      <c r="B8" s="3">
        <v>975.6</v>
      </c>
      <c r="C8" s="3">
        <v>1142</v>
      </c>
    </row>
    <row r="9" spans="1:3" x14ac:dyDescent="0.3">
      <c r="A9" s="1">
        <f t="shared" si="0"/>
        <v>2023</v>
      </c>
      <c r="B9" s="3">
        <v>1306</v>
      </c>
      <c r="C9" s="3">
        <v>1536</v>
      </c>
    </row>
    <row r="10" spans="1:3" x14ac:dyDescent="0.3">
      <c r="A10" s="1">
        <f t="shared" si="0"/>
        <v>2024</v>
      </c>
      <c r="B10" s="3">
        <v>1465</v>
      </c>
      <c r="C10" s="3">
        <v>1731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76DB-F3BC-480C-AC14-8A01BAD04B62}">
  <dimension ref="A1:C7"/>
  <sheetViews>
    <sheetView workbookViewId="0">
      <selection sqref="A1:C7"/>
    </sheetView>
  </sheetViews>
  <sheetFormatPr baseColWidth="10" defaultRowHeight="14.4" x14ac:dyDescent="0.3"/>
  <cols>
    <col min="1" max="1" width="11.88671875" bestFit="1" customWidth="1"/>
    <col min="2" max="2" width="17.77734375" bestFit="1" customWidth="1"/>
    <col min="3" max="3" width="19.33203125" bestFit="1" customWidth="1"/>
  </cols>
  <sheetData>
    <row r="1" spans="1:3" x14ac:dyDescent="0.3">
      <c r="A1" s="2" t="s">
        <v>8</v>
      </c>
      <c r="B1" s="2" t="s">
        <v>9</v>
      </c>
      <c r="C1" s="2" t="s">
        <v>10</v>
      </c>
    </row>
    <row r="2" spans="1:3" x14ac:dyDescent="0.3">
      <c r="A2" s="1" t="s">
        <v>7</v>
      </c>
      <c r="B2" s="4">
        <f>+'AUX region'!D3/'AUX region'!B3</f>
        <v>0.99931787175989084</v>
      </c>
      <c r="C2" s="4">
        <f>+'AUX region'!E3/'AUX region'!C3</f>
        <v>1.1640887693342299</v>
      </c>
    </row>
    <row r="3" spans="1:3" x14ac:dyDescent="0.3">
      <c r="A3" s="1" t="s">
        <v>3</v>
      </c>
      <c r="B3" s="4">
        <f>+'AUX region'!D4/'AUX region'!B4</f>
        <v>1.4134078212290504</v>
      </c>
      <c r="C3" s="4">
        <f>+'AUX region'!E4/'AUX region'!C4</f>
        <v>1.6345514950166113</v>
      </c>
    </row>
    <row r="4" spans="1:3" x14ac:dyDescent="0.3">
      <c r="A4" s="1" t="s">
        <v>4</v>
      </c>
      <c r="B4" s="4">
        <f>+'AUX region'!D5/'AUX region'!B5</f>
        <v>1.0741279069767442</v>
      </c>
      <c r="C4" s="4">
        <f>+'AUX region'!E5/'AUX region'!C5</f>
        <v>1.0784810126582278</v>
      </c>
    </row>
    <row r="5" spans="1:3" x14ac:dyDescent="0.3">
      <c r="A5" s="1" t="s">
        <v>5</v>
      </c>
      <c r="B5" s="4">
        <f>+'AUX region'!D6/'AUX region'!B6</f>
        <v>1.0158623470896626</v>
      </c>
      <c r="C5" s="4">
        <f>+'AUX region'!E6/'AUX region'!C6</f>
        <v>1.2389818927229244</v>
      </c>
    </row>
    <row r="6" spans="1:3" x14ac:dyDescent="0.3">
      <c r="A6" s="1" t="s">
        <v>6</v>
      </c>
      <c r="B6" s="4">
        <f>+'AUX region'!D7/'AUX region'!B7</f>
        <v>0.987688098495212</v>
      </c>
      <c r="C6" s="4">
        <f>+'AUX region'!E7/'AUX region'!C7</f>
        <v>1.1870090634441086</v>
      </c>
    </row>
    <row r="7" spans="1:3" x14ac:dyDescent="0.3">
      <c r="A7" s="1" t="s">
        <v>11</v>
      </c>
      <c r="B7" s="4">
        <f>+'AUX region'!D8/'AUX region'!B8</f>
        <v>0.87682960508146912</v>
      </c>
      <c r="C7" s="4">
        <f>+'AUX region'!E8/'AUX region'!C8</f>
        <v>0.95852221214868538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D94B-E404-4D3C-A9F7-89540D6D810B}">
  <dimension ref="A1:D7"/>
  <sheetViews>
    <sheetView workbookViewId="0">
      <selection activeCell="C2" sqref="C2"/>
    </sheetView>
  </sheetViews>
  <sheetFormatPr baseColWidth="10" defaultRowHeight="14.4" x14ac:dyDescent="0.3"/>
  <cols>
    <col min="1" max="1" width="11.88671875" bestFit="1" customWidth="1"/>
    <col min="2" max="2" width="17.77734375" style="1" bestFit="1" customWidth="1"/>
    <col min="3" max="3" width="18.21875" style="1" bestFit="1" customWidth="1"/>
    <col min="4" max="4" width="13.5546875" bestFit="1" customWidth="1"/>
  </cols>
  <sheetData>
    <row r="1" spans="1:4" x14ac:dyDescent="0.3">
      <c r="A1" s="2" t="s">
        <v>8</v>
      </c>
      <c r="B1" s="2" t="s">
        <v>0</v>
      </c>
      <c r="C1" s="2" t="s">
        <v>24</v>
      </c>
      <c r="D1" s="2" t="s">
        <v>23</v>
      </c>
    </row>
    <row r="2" spans="1:4" x14ac:dyDescent="0.3">
      <c r="A2" s="1" t="s">
        <v>7</v>
      </c>
      <c r="B2" s="6">
        <v>1465</v>
      </c>
      <c r="C2" s="6">
        <v>1731</v>
      </c>
      <c r="D2" s="7">
        <f>+(C2/B2)*1000</f>
        <v>1181.5699658703072</v>
      </c>
    </row>
    <row r="3" spans="1:4" x14ac:dyDescent="0.3">
      <c r="A3" s="1" t="s">
        <v>3</v>
      </c>
      <c r="B3" s="6">
        <v>101.2</v>
      </c>
      <c r="C3" s="6">
        <v>147.6</v>
      </c>
      <c r="D3" s="7">
        <f t="shared" ref="D3:D7" si="0">+(C3/B3)*1000</f>
        <v>1458.4980237154148</v>
      </c>
    </row>
    <row r="4" spans="1:4" x14ac:dyDescent="0.3">
      <c r="A4" s="1" t="s">
        <v>4</v>
      </c>
      <c r="B4" s="6">
        <v>73.900000000000006</v>
      </c>
      <c r="C4" s="6">
        <v>42.6</v>
      </c>
      <c r="D4" s="7">
        <f t="shared" si="0"/>
        <v>576.45466847090665</v>
      </c>
    </row>
    <row r="5" spans="1:4" x14ac:dyDescent="0.3">
      <c r="A5" s="1" t="s">
        <v>5</v>
      </c>
      <c r="B5" s="6">
        <v>755.7</v>
      </c>
      <c r="C5" s="6">
        <v>725.3</v>
      </c>
      <c r="D5" s="7">
        <f t="shared" si="0"/>
        <v>959.77239645361897</v>
      </c>
    </row>
    <row r="6" spans="1:4" x14ac:dyDescent="0.3">
      <c r="A6" s="1" t="s">
        <v>6</v>
      </c>
      <c r="B6" s="6">
        <v>216.6</v>
      </c>
      <c r="C6" s="6">
        <v>392.9</v>
      </c>
      <c r="D6" s="7">
        <f t="shared" si="0"/>
        <v>1813.9427516158817</v>
      </c>
    </row>
    <row r="7" spans="1:4" x14ac:dyDescent="0.3">
      <c r="A7" s="1" t="s">
        <v>11</v>
      </c>
      <c r="B7" s="6">
        <v>317.5</v>
      </c>
      <c r="C7" s="6">
        <v>422.9</v>
      </c>
      <c r="D7" s="7">
        <f t="shared" si="0"/>
        <v>1331.9685039370077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DE39-1870-47F7-9794-F460E25852FB}">
  <dimension ref="A1:E8"/>
  <sheetViews>
    <sheetView workbookViewId="0">
      <selection activeCell="B11" sqref="B11"/>
    </sheetView>
  </sheetViews>
  <sheetFormatPr baseColWidth="10" defaultRowHeight="14.4" x14ac:dyDescent="0.3"/>
  <sheetData>
    <row r="1" spans="1:5" x14ac:dyDescent="0.3">
      <c r="B1">
        <v>2019</v>
      </c>
      <c r="C1">
        <v>2019</v>
      </c>
      <c r="D1">
        <v>2024</v>
      </c>
      <c r="E1">
        <v>2024</v>
      </c>
    </row>
    <row r="2" spans="1:5" x14ac:dyDescent="0.3">
      <c r="A2" s="2" t="s">
        <v>8</v>
      </c>
      <c r="B2" s="2" t="s">
        <v>9</v>
      </c>
      <c r="C2" s="2" t="s">
        <v>10</v>
      </c>
      <c r="D2" s="2" t="s">
        <v>9</v>
      </c>
      <c r="E2" s="2" t="s">
        <v>10</v>
      </c>
    </row>
    <row r="3" spans="1:5" x14ac:dyDescent="0.3">
      <c r="A3" s="2" t="s">
        <v>7</v>
      </c>
      <c r="B3" s="5">
        <v>1466</v>
      </c>
      <c r="C3" s="5">
        <v>1487</v>
      </c>
      <c r="D3" s="5">
        <v>1465</v>
      </c>
      <c r="E3" s="5">
        <v>1731</v>
      </c>
    </row>
    <row r="4" spans="1:5" x14ac:dyDescent="0.3">
      <c r="A4" s="2" t="s">
        <v>3</v>
      </c>
      <c r="B4" s="5">
        <v>71.599999999999994</v>
      </c>
      <c r="C4" s="5">
        <v>90.3</v>
      </c>
      <c r="D4" s="5">
        <v>101.2</v>
      </c>
      <c r="E4" s="5">
        <v>147.6</v>
      </c>
    </row>
    <row r="5" spans="1:5" x14ac:dyDescent="0.3">
      <c r="A5" s="2" t="s">
        <v>4</v>
      </c>
      <c r="B5" s="5">
        <v>68.8</v>
      </c>
      <c r="C5" s="5">
        <v>39.5</v>
      </c>
      <c r="D5" s="5">
        <v>73.900000000000006</v>
      </c>
      <c r="E5" s="5">
        <v>42.6</v>
      </c>
    </row>
    <row r="6" spans="1:5" x14ac:dyDescent="0.3">
      <c r="A6" s="2" t="s">
        <v>5</v>
      </c>
      <c r="B6" s="5">
        <v>743.9</v>
      </c>
      <c r="C6" s="5">
        <v>585.4</v>
      </c>
      <c r="D6" s="5">
        <v>755.7</v>
      </c>
      <c r="E6" s="5">
        <v>725.3</v>
      </c>
    </row>
    <row r="7" spans="1:5" x14ac:dyDescent="0.3">
      <c r="A7" s="2" t="s">
        <v>6</v>
      </c>
      <c r="B7" s="5">
        <v>219.3</v>
      </c>
      <c r="C7" s="5">
        <v>331</v>
      </c>
      <c r="D7" s="5">
        <v>216.6</v>
      </c>
      <c r="E7" s="5">
        <v>392.9</v>
      </c>
    </row>
    <row r="8" spans="1:5" x14ac:dyDescent="0.3">
      <c r="A8" s="2" t="s">
        <v>11</v>
      </c>
      <c r="B8" s="5">
        <v>362.1</v>
      </c>
      <c r="C8" s="5">
        <v>441.2</v>
      </c>
      <c r="D8" s="5">
        <v>317.5</v>
      </c>
      <c r="E8" s="5">
        <v>422.9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942E-C57B-47ED-AE67-401B28AB2B5A}">
  <dimension ref="A1:F11"/>
  <sheetViews>
    <sheetView tabSelected="1" workbookViewId="0">
      <selection activeCell="E2" sqref="E2"/>
    </sheetView>
  </sheetViews>
  <sheetFormatPr baseColWidth="10" defaultRowHeight="14.4" x14ac:dyDescent="0.3"/>
  <cols>
    <col min="1" max="1" width="11.5546875" style="1"/>
    <col min="2" max="2" width="5" style="1" bestFit="1" customWidth="1"/>
    <col min="3" max="3" width="6.21875" style="1" customWidth="1"/>
    <col min="4" max="5" width="13.44140625" style="1" bestFit="1" customWidth="1"/>
    <col min="6" max="6" width="10" style="1" customWidth="1"/>
  </cols>
  <sheetData>
    <row r="1" spans="1:6" x14ac:dyDescent="0.3">
      <c r="A1" s="2" t="s">
        <v>12</v>
      </c>
      <c r="B1" s="2">
        <v>2019</v>
      </c>
      <c r="C1" s="2">
        <v>2024</v>
      </c>
      <c r="D1" s="2" t="s">
        <v>25</v>
      </c>
      <c r="E1" s="2" t="s">
        <v>27</v>
      </c>
      <c r="F1" s="2" t="s">
        <v>26</v>
      </c>
    </row>
    <row r="2" spans="1:6" x14ac:dyDescent="0.3">
      <c r="A2" s="1" t="s">
        <v>13</v>
      </c>
      <c r="B2" s="1">
        <v>90.9</v>
      </c>
      <c r="C2" s="1">
        <v>102</v>
      </c>
      <c r="D2" s="1">
        <f>+RANK(B2,$B$2:$B$11)</f>
        <v>1</v>
      </c>
      <c r="E2" s="1">
        <f>+RANK(C2,$C$2:$C$11)</f>
        <v>1</v>
      </c>
      <c r="F2" s="1">
        <f>+D2-E2</f>
        <v>0</v>
      </c>
    </row>
    <row r="3" spans="1:6" x14ac:dyDescent="0.3">
      <c r="A3" s="1" t="s">
        <v>14</v>
      </c>
      <c r="B3" s="1">
        <v>83.5</v>
      </c>
      <c r="C3" s="1">
        <v>93.8</v>
      </c>
      <c r="D3" s="1">
        <f t="shared" ref="D3:D11" si="0">+RANK(B3,$B$2:$B$11)</f>
        <v>2</v>
      </c>
      <c r="E3" s="1">
        <f t="shared" ref="E3:E11" si="1">+RANK(C3,$C$2:$C$11)</f>
        <v>2</v>
      </c>
      <c r="F3" s="1">
        <f t="shared" ref="F3:F11" si="2">+D3-E3</f>
        <v>0</v>
      </c>
    </row>
    <row r="4" spans="1:6" x14ac:dyDescent="0.3">
      <c r="A4" s="1" t="s">
        <v>15</v>
      </c>
      <c r="B4" s="1">
        <v>79.400000000000006</v>
      </c>
      <c r="C4" s="1">
        <v>72.400000000000006</v>
      </c>
      <c r="D4" s="1">
        <f t="shared" si="0"/>
        <v>3</v>
      </c>
      <c r="E4" s="1">
        <f t="shared" si="1"/>
        <v>3</v>
      </c>
      <c r="F4" s="1">
        <f t="shared" si="2"/>
        <v>0</v>
      </c>
    </row>
    <row r="5" spans="1:6" x14ac:dyDescent="0.3">
      <c r="A5" s="1" t="s">
        <v>16</v>
      </c>
      <c r="B5" s="1">
        <v>65.7</v>
      </c>
      <c r="C5" s="1">
        <v>32</v>
      </c>
      <c r="D5" s="1">
        <f t="shared" si="0"/>
        <v>4</v>
      </c>
      <c r="E5" s="1">
        <f t="shared" si="1"/>
        <v>10</v>
      </c>
      <c r="F5" s="1">
        <f t="shared" si="2"/>
        <v>-6</v>
      </c>
    </row>
    <row r="6" spans="1:6" x14ac:dyDescent="0.3">
      <c r="A6" s="1" t="s">
        <v>17</v>
      </c>
      <c r="B6" s="1">
        <v>64.5</v>
      </c>
      <c r="C6" s="1">
        <v>57.8</v>
      </c>
      <c r="D6" s="1">
        <f t="shared" si="0"/>
        <v>5</v>
      </c>
      <c r="E6" s="1">
        <f t="shared" si="1"/>
        <v>5</v>
      </c>
      <c r="F6" s="1">
        <f t="shared" si="2"/>
        <v>0</v>
      </c>
    </row>
    <row r="7" spans="1:6" x14ac:dyDescent="0.3">
      <c r="A7" s="1" t="s">
        <v>18</v>
      </c>
      <c r="B7" s="1">
        <v>51.2</v>
      </c>
      <c r="C7" s="1">
        <v>60.6</v>
      </c>
      <c r="D7" s="1">
        <f t="shared" si="0"/>
        <v>6</v>
      </c>
      <c r="E7" s="1">
        <f t="shared" si="1"/>
        <v>4</v>
      </c>
      <c r="F7" s="1">
        <f t="shared" si="2"/>
        <v>2</v>
      </c>
    </row>
    <row r="8" spans="1:6" x14ac:dyDescent="0.3">
      <c r="A8" s="1" t="s">
        <v>19</v>
      </c>
      <c r="B8" s="1">
        <v>45</v>
      </c>
      <c r="C8" s="1">
        <v>45</v>
      </c>
      <c r="D8" s="1">
        <f t="shared" si="0"/>
        <v>7</v>
      </c>
      <c r="E8" s="1">
        <f t="shared" si="1"/>
        <v>6</v>
      </c>
      <c r="F8" s="1">
        <f t="shared" si="2"/>
        <v>1</v>
      </c>
    </row>
    <row r="9" spans="1:6" x14ac:dyDescent="0.3">
      <c r="A9" s="1" t="s">
        <v>20</v>
      </c>
      <c r="B9" s="1">
        <v>39.9</v>
      </c>
      <c r="C9" s="1">
        <v>35.5</v>
      </c>
      <c r="D9" s="1">
        <f t="shared" si="0"/>
        <v>8</v>
      </c>
      <c r="E9" s="1">
        <f t="shared" si="1"/>
        <v>9</v>
      </c>
      <c r="F9" s="1">
        <f t="shared" si="2"/>
        <v>-1</v>
      </c>
    </row>
    <row r="10" spans="1:6" x14ac:dyDescent="0.3">
      <c r="A10" s="1" t="s">
        <v>21</v>
      </c>
      <c r="B10" s="1">
        <v>39.6</v>
      </c>
      <c r="C10" s="1">
        <v>37.5</v>
      </c>
      <c r="D10" s="1">
        <f t="shared" si="0"/>
        <v>9</v>
      </c>
      <c r="E10" s="1">
        <f t="shared" si="1"/>
        <v>8</v>
      </c>
      <c r="F10" s="1">
        <f t="shared" si="2"/>
        <v>1</v>
      </c>
    </row>
    <row r="11" spans="1:6" x14ac:dyDescent="0.3">
      <c r="A11" s="1" t="s">
        <v>22</v>
      </c>
      <c r="B11" s="1">
        <v>39.4</v>
      </c>
      <c r="C11" s="1">
        <v>41.2</v>
      </c>
      <c r="D11" s="1">
        <f t="shared" si="0"/>
        <v>10</v>
      </c>
      <c r="E11" s="1">
        <f t="shared" si="1"/>
        <v>7</v>
      </c>
      <c r="F11" s="1">
        <f t="shared" si="2"/>
        <v>3</v>
      </c>
    </row>
  </sheetData>
  <conditionalFormatting sqref="F2:F11">
    <cfRule type="cellIs" dxfId="0" priority="1" operator="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88C42A90-D48C-4762-A112-9727B6F2804E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F2:F11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global</vt:lpstr>
      <vt:lpstr>region</vt:lpstr>
      <vt:lpstr>region_absolut</vt:lpstr>
      <vt:lpstr>AUX region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Bonifacini</dc:creator>
  <cp:lastModifiedBy>Franco Bonifacini</cp:lastModifiedBy>
  <dcterms:created xsi:type="dcterms:W3CDTF">2025-07-22T17:44:34Z</dcterms:created>
  <dcterms:modified xsi:type="dcterms:W3CDTF">2025-07-24T09:06:35Z</dcterms:modified>
</cp:coreProperties>
</file>