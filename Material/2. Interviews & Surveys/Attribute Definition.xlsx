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defaultThemeVersion="202300"/>
  <mc:AlternateContent xmlns:mc="http://schemas.openxmlformats.org/markup-compatibility/2006">
    <mc:Choice Requires="x15">
      <x15ac:absPath xmlns:x15ac="http://schemas.microsoft.com/office/spreadsheetml/2010/11/ac" url="C:\Users\franc\Documents\GitHub\DSE_thesis\Material\2. Interviews &amp; Surveys\"/>
    </mc:Choice>
  </mc:AlternateContent>
  <xr:revisionPtr revIDLastSave="0" documentId="13_ncr:1_{FE91E28A-3E35-4625-920F-C16741DBEB6A}" xr6:coauthVersionLast="47" xr6:coauthVersionMax="47" xr10:uidLastSave="{00000000-0000-0000-0000-000000000000}"/>
  <bookViews>
    <workbookView xWindow="-108" yWindow="-108" windowWidth="23256" windowHeight="13896" tabRatio="824" xr2:uid="{1010D4BD-99A2-4997-AD21-2857331DB82F}"/>
  </bookViews>
  <sheets>
    <sheet name="Improvement" sheetId="9" r:id="rId1"/>
    <sheet name="Final Attirbutes" sheetId="4" r:id="rId2"/>
    <sheet name="Short Survey - ChatGPT" sheetId="10" r:id="rId3"/>
    <sheet name="Short Survey - Analysis" sheetId="8" r:id="rId4"/>
    <sheet name="Interview Attributes" sheetId="6" r:id="rId5"/>
    <sheet name="ChatGPT Attributes Refined" sheetId="7" r:id="rId6"/>
    <sheet name="ChatGPT Attributes" sheetId="5" r:id="rId7"/>
    <sheet name="Attribute_Frequency_Table" sheetId="2" r:id="rId8"/>
    <sheet name="Attributes_by_Interview" sheetId="3" r:id="rId9"/>
  </sheets>
  <definedNames>
    <definedName name="_xlnm._FilterDatabase" localSheetId="8" hidden="1">Attributes_by_Interview!$B$1:$M$1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9" i="3" l="1"/>
  <c r="A33" i="3"/>
  <c r="C3" i="3"/>
  <c r="A3" i="3" s="1"/>
  <c r="C4" i="3"/>
  <c r="A4" i="3" s="1"/>
  <c r="C5" i="3"/>
  <c r="A5" i="3" s="1"/>
  <c r="C6" i="3"/>
  <c r="A6" i="3" s="1"/>
  <c r="C7" i="3"/>
  <c r="A7" i="3" s="1"/>
  <c r="C8" i="3"/>
  <c r="A8" i="3" s="1"/>
  <c r="C9" i="3"/>
  <c r="C10" i="3"/>
  <c r="C11" i="3"/>
  <c r="A11" i="3" s="1"/>
  <c r="C12" i="3"/>
  <c r="A12" i="3" s="1"/>
  <c r="C13" i="3"/>
  <c r="A13" i="3" s="1"/>
  <c r="C14" i="3"/>
  <c r="A14" i="3" s="1"/>
  <c r="C15" i="3"/>
  <c r="A15" i="3" s="1"/>
  <c r="C16" i="3"/>
  <c r="A16" i="3" s="1"/>
  <c r="C17" i="3"/>
  <c r="C18" i="3"/>
  <c r="C19" i="3"/>
  <c r="A19" i="3" s="1"/>
  <c r="C20" i="3"/>
  <c r="A20" i="3" s="1"/>
  <c r="C21" i="3"/>
  <c r="A21" i="3" s="1"/>
  <c r="C22" i="3"/>
  <c r="A22" i="3" s="1"/>
  <c r="C23" i="3"/>
  <c r="A23" i="3" s="1"/>
  <c r="C24" i="3"/>
  <c r="A24" i="3" s="1"/>
  <c r="C25" i="3"/>
  <c r="C26" i="3"/>
  <c r="C27" i="3"/>
  <c r="A27" i="3" s="1"/>
  <c r="C28" i="3"/>
  <c r="A28" i="3" s="1"/>
  <c r="C29" i="3"/>
  <c r="A29" i="3" s="1"/>
  <c r="C30" i="3"/>
  <c r="A30" i="3" s="1"/>
  <c r="C31" i="3"/>
  <c r="A31" i="3" s="1"/>
  <c r="C32" i="3"/>
  <c r="A32" i="3" s="1"/>
  <c r="C33" i="3"/>
  <c r="C34" i="3"/>
  <c r="C35" i="3"/>
  <c r="A35" i="3" s="1"/>
  <c r="C36" i="3"/>
  <c r="A36" i="3" s="1"/>
  <c r="C37" i="3"/>
  <c r="A37" i="3" s="1"/>
  <c r="C38" i="3"/>
  <c r="A38" i="3" s="1"/>
  <c r="C39" i="3"/>
  <c r="A39" i="3" s="1"/>
  <c r="C40" i="3"/>
  <c r="A40" i="3" s="1"/>
  <c r="C41" i="3"/>
  <c r="C42" i="3"/>
  <c r="C43" i="3"/>
  <c r="A43" i="3" s="1"/>
  <c r="C44" i="3"/>
  <c r="A44" i="3" s="1"/>
  <c r="C45" i="3"/>
  <c r="A45" i="3" s="1"/>
  <c r="C2" i="3"/>
  <c r="A41" i="3" s="1"/>
  <c r="A3" i="2"/>
  <c r="A4" i="2" s="1"/>
  <c r="A5" i="2" s="1"/>
  <c r="A6" i="2" s="1"/>
  <c r="A7" i="2" s="1"/>
  <c r="A8" i="2" s="1"/>
  <c r="A9" i="2" s="1"/>
  <c r="A10" i="2" s="1"/>
  <c r="A11" i="2" s="1"/>
  <c r="A12" i="2" s="1"/>
  <c r="A13" i="2" s="1"/>
  <c r="A14" i="2" s="1"/>
  <c r="A15" i="2" s="1"/>
  <c r="A16" i="2" s="1"/>
  <c r="A17" i="2" s="1"/>
  <c r="A18" i="2" s="1"/>
  <c r="A19" i="2" s="1"/>
  <c r="A20" i="2" s="1"/>
  <c r="A21" i="2" s="1"/>
  <c r="A22" i="2" s="1"/>
  <c r="A23" i="2" s="1"/>
  <c r="A24" i="2" s="1"/>
  <c r="A25" i="2" s="1"/>
  <c r="A26" i="2" s="1"/>
  <c r="A27" i="2" s="1"/>
  <c r="A28" i="2" s="1"/>
  <c r="A29" i="2" s="1"/>
  <c r="A30" i="2" s="1"/>
  <c r="A31" i="2" s="1"/>
  <c r="A32" i="2" s="1"/>
  <c r="A33" i="2" s="1"/>
  <c r="A34" i="2" s="1"/>
  <c r="A35" i="2" s="1"/>
  <c r="A36" i="2" s="1"/>
  <c r="A37" i="2" s="1"/>
  <c r="A38" i="2" s="1"/>
  <c r="A39" i="2" s="1"/>
  <c r="A40" i="2" s="1"/>
  <c r="A41" i="2" s="1"/>
  <c r="A42" i="2" s="1"/>
  <c r="A43" i="2" s="1"/>
  <c r="A44" i="2" s="1"/>
  <c r="A45" i="2" s="1"/>
  <c r="A42" i="3" l="1"/>
  <c r="A18" i="3"/>
  <c r="A25" i="3"/>
  <c r="A2" i="3"/>
  <c r="C14" i="2" s="1"/>
  <c r="B12" i="2"/>
  <c r="A34" i="3"/>
  <c r="A26" i="3"/>
  <c r="A10" i="3"/>
  <c r="B9" i="2" s="1"/>
  <c r="A17" i="3"/>
  <c r="C6" i="2"/>
  <c r="C8" i="2"/>
  <c r="C12" i="2"/>
  <c r="C17" i="2"/>
  <c r="C21" i="2"/>
  <c r="C11" i="2" l="1"/>
  <c r="B7" i="2"/>
  <c r="C16" i="2"/>
  <c r="C7" i="2"/>
  <c r="C44" i="2"/>
  <c r="B16" i="2"/>
  <c r="C35" i="2"/>
  <c r="C3" i="2"/>
  <c r="B31" i="2"/>
  <c r="C34" i="2"/>
  <c r="B3" i="2"/>
  <c r="C13" i="2"/>
  <c r="B44" i="2"/>
  <c r="C31" i="2"/>
  <c r="C30" i="2"/>
  <c r="C22" i="2"/>
  <c r="C41" i="2"/>
  <c r="C9" i="2"/>
  <c r="B21" i="2"/>
  <c r="C36" i="2"/>
  <c r="C4" i="2"/>
  <c r="B40" i="2"/>
  <c r="B8" i="2"/>
  <c r="C27" i="2"/>
  <c r="B23" i="2"/>
  <c r="C18" i="2"/>
  <c r="C25" i="2"/>
  <c r="C38" i="2"/>
  <c r="B27" i="2"/>
  <c r="C37" i="2"/>
  <c r="C5" i="2"/>
  <c r="B17" i="2"/>
  <c r="C32" i="2"/>
  <c r="C42" i="2"/>
  <c r="B36" i="2"/>
  <c r="B4" i="2"/>
  <c r="C23" i="2"/>
  <c r="B19" i="2"/>
  <c r="B37" i="2"/>
  <c r="C20" i="2"/>
  <c r="C43" i="2"/>
  <c r="B39" i="2"/>
  <c r="B20" i="2"/>
  <c r="B35" i="2"/>
  <c r="B29" i="2"/>
  <c r="B32" i="2"/>
  <c r="B34" i="2"/>
  <c r="B30" i="2"/>
  <c r="B22" i="2"/>
  <c r="B18" i="2"/>
  <c r="B14" i="2"/>
  <c r="B10" i="2"/>
  <c r="B6" i="2"/>
  <c r="B26" i="2"/>
  <c r="B2" i="2"/>
  <c r="C2" i="2"/>
  <c r="B42" i="2"/>
  <c r="B38" i="2"/>
  <c r="C19" i="2"/>
  <c r="B15" i="2"/>
  <c r="C10" i="2"/>
  <c r="B5" i="2"/>
  <c r="B24" i="2"/>
  <c r="B33" i="2"/>
  <c r="C39" i="2"/>
  <c r="B25" i="2"/>
  <c r="C40" i="2"/>
  <c r="C33" i="2"/>
  <c r="B45" i="2"/>
  <c r="B13" i="2"/>
  <c r="C28" i="2"/>
  <c r="C29" i="2"/>
  <c r="B41" i="2"/>
  <c r="C24" i="2"/>
  <c r="B28" i="2"/>
  <c r="C26" i="2"/>
  <c r="C15" i="2"/>
  <c r="B43" i="2"/>
  <c r="B11" i="2"/>
  <c r="C45" i="2"/>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9F24275D-284C-4286-8C67-B495DB8AB900}" keepAlive="1" name="Consulta - Attribute_Frequency_Table" description="Conexión a la consulta 'Attribute_Frequency_Table' en el libro." type="5" refreshedVersion="0" background="1">
    <dbPr connection="Provider=Microsoft.Mashup.OleDb.1;Data Source=$Workbook$;Location=Attribute_Frequency_Table;Extended Properties=&quot;&quot;" command="SELECT * FROM [Attribute_Frequency_Table]"/>
  </connection>
  <connection id="2" xr16:uid="{6CA430F6-5755-4A7C-B6C6-3B6528BFF7F4}" keepAlive="1" name="Consulta - Attributes_by_Interview" description="Conexión a la consulta 'Attributes_by_Interview' en el libro." type="5" refreshedVersion="0" background="1">
    <dbPr connection="Provider=Microsoft.Mashup.OleDb.1;Data Source=$Workbook$;Location=Attributes_by_Interview;Extended Properties=&quot;&quot;" command="SELECT * FROM [Attributes_by_Interview]"/>
  </connection>
</connections>
</file>

<file path=xl/sharedStrings.xml><?xml version="1.0" encoding="utf-8"?>
<sst xmlns="http://schemas.openxmlformats.org/spreadsheetml/2006/main" count="353" uniqueCount="286">
  <si>
    <t>Attribute</t>
  </si>
  <si>
    <t>Frequency</t>
  </si>
  <si>
    <t>proximity to other destinations</t>
  </si>
  <si>
    <t>accommodation type</t>
  </si>
  <si>
    <t>accessibility to touristic points</t>
  </si>
  <si>
    <t>cost to reach</t>
  </si>
  <si>
    <t>local events</t>
  </si>
  <si>
    <t>distance to reach</t>
  </si>
  <si>
    <t>accommodation price</t>
  </si>
  <si>
    <t>local cuisine</t>
  </si>
  <si>
    <t>proximity to popular cities</t>
  </si>
  <si>
    <t>accommodation services</t>
  </si>
  <si>
    <t>availability of transport to destination</t>
  </si>
  <si>
    <t>cultural immersion</t>
  </si>
  <si>
    <t>natural landscape</t>
  </si>
  <si>
    <t>online recommendations</t>
  </si>
  <si>
    <t>local prices</t>
  </si>
  <si>
    <t>overcrowded</t>
  </si>
  <si>
    <t>museums</t>
  </si>
  <si>
    <t>access to beaches</t>
  </si>
  <si>
    <t>popular city</t>
  </si>
  <si>
    <t>variety of hours for transportation</t>
  </si>
  <si>
    <t>local friendliness</t>
  </si>
  <si>
    <t>city’s accessibility</t>
  </si>
  <si>
    <t>accommodation location</t>
  </si>
  <si>
    <t>historical places</t>
  </si>
  <si>
    <t>accommodation quality</t>
  </si>
  <si>
    <t>genuine online recommendations</t>
  </si>
  <si>
    <t>food’s price</t>
  </si>
  <si>
    <t>accessible by public transport</t>
  </si>
  <si>
    <t>information availability online</t>
  </si>
  <si>
    <t>hiking trails</t>
  </si>
  <si>
    <t>music events</t>
  </si>
  <si>
    <t>historical buildings</t>
  </si>
  <si>
    <t>availability of city tours</t>
  </si>
  <si>
    <t>destination size</t>
  </si>
  <si>
    <t>music events cost</t>
  </si>
  <si>
    <t>supermarket availability</t>
  </si>
  <si>
    <t>access to mountains</t>
  </si>
  <si>
    <t>events price</t>
  </si>
  <si>
    <t>local restaurants</t>
  </si>
  <si>
    <t>local experience</t>
  </si>
  <si>
    <t>car friendly</t>
  </si>
  <si>
    <t>availability of travel agencies</t>
  </si>
  <si>
    <t>attraction availability</t>
  </si>
  <si>
    <t>restaurants availability</t>
  </si>
  <si>
    <t>Interview 1</t>
  </si>
  <si>
    <t>Interview 2</t>
  </si>
  <si>
    <t>Interview 3</t>
  </si>
  <si>
    <t>Interview 4</t>
  </si>
  <si>
    <t>Interview 5</t>
  </si>
  <si>
    <t>Interview 6</t>
  </si>
  <si>
    <t>Interview 7</t>
  </si>
  <si>
    <t>Interview 8</t>
  </si>
  <si>
    <t>Interview 9</t>
  </si>
  <si>
    <t>Interview 10</t>
  </si>
  <si>
    <t>#</t>
  </si>
  <si>
    <t>Total</t>
  </si>
  <si>
    <t>Accommodation type</t>
  </si>
  <si>
    <t>Comments</t>
  </si>
  <si>
    <t>Attribute (English)</t>
  </si>
  <si>
    <t>Interviews where mentioned</t>
  </si>
  <si>
    <t>Local food / gastronomy</t>
  </si>
  <si>
    <t>1, 2, 3, 4, 5, 6, 7, 8, 9, 10</t>
  </si>
  <si>
    <t>Architecture / historical buildings</t>
  </si>
  <si>
    <t>1, 2, 3, 4, 5, 6, 7, 9, 10</t>
  </si>
  <si>
    <t>Museums / art exhibitions</t>
  </si>
  <si>
    <t>1, 2, 4, 6, 8, 9, 10</t>
  </si>
  <si>
    <t>Cultural festivals / events</t>
  </si>
  <si>
    <t>1, 4, 5, 6, 7, 8, 10</t>
  </si>
  <si>
    <t>City atmosphere / vibe / livability</t>
  </si>
  <si>
    <t>1, 2, 3, 6, 7, 8</t>
  </si>
  <si>
    <t>Traditional restaurants / family-run eateries</t>
  </si>
  <si>
    <t>3, 4, 6, 7, 9, 10</t>
  </si>
  <si>
    <t>Historic centers / old towns</t>
  </si>
  <si>
    <t>2, 4, 5, 9, 10</t>
  </si>
  <si>
    <t>Local people friendliness / hospitality</t>
  </si>
  <si>
    <t>3, 4, 6, 7, 10</t>
  </si>
  <si>
    <t>Cleanliness of the city</t>
  </si>
  <si>
    <t>3, 4, 6, 7</t>
  </si>
  <si>
    <t>Artistic heritage / Renaissance art</t>
  </si>
  <si>
    <t>2, 5, 8, 10</t>
  </si>
  <si>
    <t>Squares / piazzas / public spaces</t>
  </si>
  <si>
    <t>4, 7, 8, 10</t>
  </si>
  <si>
    <t>Natural landscapes / vegetation / parks</t>
  </si>
  <si>
    <t>4, 6, 7</t>
  </si>
  <si>
    <t>Religious sites (churches, convents)</t>
  </si>
  <si>
    <t>2, 6, 10</t>
  </si>
  <si>
    <t>Guided tours / city tours</t>
  </si>
  <si>
    <t>1, 5, 9</t>
  </si>
  <si>
    <t>Nightlife / music festivals</t>
  </si>
  <si>
    <t>1, 5, 8</t>
  </si>
  <si>
    <t>Traditional markets / local markets</t>
  </si>
  <si>
    <t>5, 8</t>
  </si>
  <si>
    <t>Local crafts / authenticity / non-commercial atmosphere</t>
  </si>
  <si>
    <t>4, 7</t>
  </si>
  <si>
    <t>Street food / casual local food</t>
  </si>
  <si>
    <t>9, 10</t>
  </si>
  <si>
    <t>Festivals or parades (La Quintana)</t>
  </si>
  <si>
    <t>8, 10</t>
  </si>
  <si>
    <t>Scenic views / viewpoints / aesthetic beauty</t>
  </si>
  <si>
    <t>6, 7</t>
  </si>
  <si>
    <t>Distinctive local cuisine</t>
  </si>
  <si>
    <t>Heritage ambience of the historic center</t>
  </si>
  <si>
    <t>Availability of museums and art venues</t>
  </si>
  <si>
    <t>Frequency of cultural events</t>
  </si>
  <si>
    <t>Proximity to natural areas</t>
  </si>
  <si>
    <t>Attractiveness of main squares and public spaces</t>
  </si>
  <si>
    <t>Definition for survey</t>
  </si>
  <si>
    <t>Quality of local cuisine</t>
  </si>
  <si>
    <t>Perceived taste, variety, and authenticity of local food (typical dishes, local products).</t>
  </si>
  <si>
    <t>Presence of heritage architecture</t>
  </si>
  <si>
    <t>Existence and visibility of preserved historical buildings, monuments, and landmarks.</t>
  </si>
  <si>
    <t>Ambience of the historic center</t>
  </si>
  <si>
    <t>Overall atmosphere, aesthetics, and cultural feeling of old-town areas (walkability, charm).</t>
  </si>
  <si>
    <t>Number and accessibility of museums, galleries, or artistic spaces.</t>
  </si>
  <si>
    <t>Availability of traditional festivals, parades, concerts, or local celebrations during the visit.</t>
  </si>
  <si>
    <t>Quality of natural scenery</t>
  </si>
  <si>
    <t>Appeal and conservation of surrounding natural landscapes (parks, hills, beaches).</t>
  </si>
  <si>
    <t>Friendliness of local residents</t>
  </si>
  <si>
    <t>Degree of hospitality, helpfulness, and welcoming attitude of locals toward visitors.</t>
  </si>
  <si>
    <t>Cleanliness and orderliness of the city</t>
  </si>
  <si>
    <t>Perceived hygiene, maintenance, and visual order of public spaces.</t>
  </si>
  <si>
    <t>Authenticity of local experience</t>
  </si>
  <si>
    <t>Perception that experiences are genuine and culturally rooted (not overly commercial).</t>
  </si>
  <si>
    <t>Availability of guided tours and information on-site</t>
  </si>
  <si>
    <t>Presence and usefulness of local tours, guides, or interpretive materials.</t>
  </si>
  <si>
    <t>Visual and social appeal of plazas, piazzas, and outdoor gathering places.</t>
  </si>
  <si>
    <t>Ease of access from other destinations</t>
  </si>
  <si>
    <t>Travel time, routes, and overall convenience to reach the city.</t>
  </si>
  <si>
    <t>Cost and comfort of transport connections</t>
  </si>
  <si>
    <t>Perceived affordability and comfort of transportation to and within the destination.</t>
  </si>
  <si>
    <t>Quality of accommodation options</t>
  </si>
  <si>
    <t>Variety, cleanliness, comfort, and adequacy of available lodgings.</t>
  </si>
  <si>
    <t>Usefulness of online information</t>
  </si>
  <si>
    <t>Clarity, accuracy, and trustworthiness of online travel resources used for planning (TripAdvisor, ChatGPT, etc.).</t>
  </si>
  <si>
    <t>Scale and diversity of attractions</t>
  </si>
  <si>
    <t>Perception of the city’s size and richness of things to see/do.</t>
  </si>
  <si>
    <t>Affordability of the destination</t>
  </si>
  <si>
    <t>General perception of whether the place is expensive or budget-friendly.</t>
  </si>
  <si>
    <t>Availability of visitor services</t>
  </si>
  <si>
    <t>Access to everyday facilities like supermarkets, pharmacies, or ATMs.</t>
  </si>
  <si>
    <t>Ease of reaching the city by public transport</t>
  </si>
  <si>
    <t>Digital information availability</t>
  </si>
  <si>
    <t>Accessibility to touristic points</t>
  </si>
  <si>
    <t>Centrally located accommodations.</t>
  </si>
  <si>
    <t>Accommodation within walking distance to key attractions.</t>
  </si>
  <si>
    <t>Accommodation's high quality (4/5 stars).</t>
  </si>
  <si>
    <t>Flexible booking options (free cancellation, easy date change).</t>
  </si>
  <si>
    <t>Accommodation near daily essentials (supermarket, pharmacy, ATM).</t>
  </si>
  <si>
    <t>Accommodation services (24h check-in or digital self check-in).</t>
  </si>
  <si>
    <t>Availability of authentic local restaurants with regional dishes.</t>
  </si>
  <si>
    <t>Restaurants with online or advance booking.</t>
  </si>
  <si>
    <t>Availability of local food markets/craft fairs.</t>
  </si>
  <si>
    <t>Availability of traditional, family-run restaurants.</t>
  </si>
  <si>
    <t>Possibility of cultural immersion (local rituals, traditions, or workshops).</t>
  </si>
  <si>
    <t>Availability of guided tours in different languages.</t>
  </si>
  <si>
    <t>Ready-made travel packages (include key attractions).</t>
  </si>
  <si>
    <t>Local festivals.</t>
  </si>
  <si>
    <t>Walkable historic districts.</t>
  </si>
  <si>
    <t>Diversity of small local shops/artisans.</t>
  </si>
  <si>
    <t>Availability of hiking/trekking routes.</t>
  </si>
  <si>
    <t>Proximity to other cities/villages.</t>
  </si>
  <si>
    <t>Proximity to natural areas.</t>
  </si>
  <si>
    <t>Ease of reaching the city by public transport.</t>
  </si>
  <si>
    <t>Availability of car rentals.</t>
  </si>
  <si>
    <t>Touristic sites reachable on foot.</t>
  </si>
  <si>
    <t>Availabilkity of luggage storage near stations or airports.</t>
  </si>
  <si>
    <t>Proximity to natural areas or outdoor routes</t>
  </si>
  <si>
    <t>Availability of centrally located accommodation</t>
  </si>
  <si>
    <t>Availability of tourist information (digital and on-site)</t>
  </si>
  <si>
    <t>Accommodation services (flexible cancellation, digital check-in, ammenities, etc)</t>
  </si>
  <si>
    <t>Diversity of authentic local restaurants</t>
  </si>
  <si>
    <t>Flexible scheduling of guided tours</t>
  </si>
  <si>
    <t xml:space="preserve">Density of touristic attractions within walking distance </t>
  </si>
  <si>
    <t>Improved, and also includes the idea of "restaurants"</t>
  </si>
  <si>
    <t>Added "outdoor routres" as some cases mentioned hikking/trekking activities</t>
  </si>
  <si>
    <t>This refers to information available previous and during the trip (blogs, comuna, and even info points)</t>
  </si>
  <si>
    <t>This includes quality/price of accommodation, as more services tend to be more expensive or higher quality</t>
  </si>
  <si>
    <t>Added the idea of "walkable" as most respondents mentioned the idea of walking or using public transport</t>
  </si>
  <si>
    <t>Previous Work Attributes</t>
  </si>
  <si>
    <t>Accessibility/Public Transportation</t>
  </si>
  <si>
    <t>Accessible Prices</t>
  </si>
  <si>
    <t>Accomodation availability</t>
  </si>
  <si>
    <t>Food</t>
  </si>
  <si>
    <t>Historical background</t>
  </si>
  <si>
    <t>Local events</t>
  </si>
  <si>
    <t>Landscape</t>
  </si>
  <si>
    <t>Availability of tourists' packs</t>
  </si>
  <si>
    <t>Attributes after Interviews</t>
  </si>
  <si>
    <t>Attributes after Explanatory Survey + Text Analysis</t>
  </si>
  <si>
    <t>Personal Observation</t>
  </si>
  <si>
    <t>Related to accommodation.</t>
  </si>
  <si>
    <t>Accessibility</t>
  </si>
  <si>
    <t>Distance to reach</t>
  </si>
  <si>
    <t>Historical places</t>
  </si>
  <si>
    <t>Museums &amp; Art</t>
  </si>
  <si>
    <t>Natural landscape</t>
  </si>
  <si>
    <t>Guided tours</t>
  </si>
  <si>
    <t>Proximity to other destinations</t>
  </si>
  <si>
    <t>Local cuisine</t>
  </si>
  <si>
    <t>Related to accommodation. This case can confusing and ambiguous. I should improve this attribute.</t>
  </si>
  <si>
    <t>This attribute should be re-think, as this attribute cannot be totally developed by a city, is not in their scope. Maybe the information online can be in a city's scope and possible to work on.</t>
  </si>
  <si>
    <t>Local cuisine. This is a little bit general, could be clearer, and avoid ambuiguity.</t>
  </si>
  <si>
    <t>Distance to reach. Should be clearer, and avoid ambuiguity and overlapping with other cases.</t>
  </si>
  <si>
    <t>Accessibility. This is ambiguous, as someone who prfers private transport may answer identical as someone who prefers public transport.</t>
  </si>
  <si>
    <t>This is a bit general, could be improved.</t>
  </si>
  <si>
    <t>Related to accommodation. This is interesting but should be imprvoed if used as final attribute.</t>
  </si>
  <si>
    <t>Historical places. Could be related with historical buildings.</t>
  </si>
  <si>
    <t>Not useful, as it is general.</t>
  </si>
  <si>
    <t>Same as first case.</t>
  </si>
  <si>
    <t>This is an interesting attribute, but yet should be improved if define as final attribute.</t>
  </si>
  <si>
    <t>Local cuisine. This should be combined with other cuisine attributes.</t>
  </si>
  <si>
    <t>Same as first attribute..</t>
  </si>
  <si>
    <t>This is not frequent and is not useful, and even a city can't develop this.</t>
  </si>
  <si>
    <t>Not frequent and difficult to manage.</t>
  </si>
  <si>
    <t>This should be complementary to other accesbility attributes.</t>
  </si>
  <si>
    <t>Related to touristic attraction.</t>
  </si>
  <si>
    <t>Travel agencies</t>
  </si>
  <si>
    <t>Although this may be influential, is not frequent and yet isn't managable by a city.</t>
  </si>
  <si>
    <t>Local events.</t>
  </si>
  <si>
    <t>Too general, and can be related to local events, cuisine and culture.</t>
  </si>
  <si>
    <t>Observation</t>
  </si>
  <si>
    <t>This is stationality, and depends on when it is the event, and can't be managed more than for that specific period (as Quintana).</t>
  </si>
  <si>
    <t>Friendliness is complicated to managed, I prefer more actionable attributes.</t>
  </si>
  <si>
    <t>This was mentioned just by 1 person</t>
  </si>
  <si>
    <t>Quality is a characteristic a bit difficult to manage by the city, it depends on each restaurant.
But clearly the food, and mainly in Italy is an important attribute that MUST be in the list. Should be redefined.</t>
  </si>
  <si>
    <t>This could be combined with the previous one.</t>
  </si>
  <si>
    <t>Although is an intresting attribute for a city, yet it was not a frequent topic mentioned.</t>
  </si>
  <si>
    <t>This could be complement with local cuisine.</t>
  </si>
  <si>
    <t>This is an intresting attribute, yet is not too frequent, it could be analyze in future approaches.</t>
  </si>
  <si>
    <t>This could be combined with 2nd and 3rd</t>
  </si>
  <si>
    <t>This can be combined with previous attribute.</t>
  </si>
  <si>
    <t>This could be interesting, but also include on-site information. Information is important in tourism experiences, and although opinions or recommendations are not managable, yes it is the information online (such as comuna's web page, presence in google maps, trip blogs, etc)</t>
  </si>
  <si>
    <t>This could be a bit general, and tested with Van Westendorp model.</t>
  </si>
  <si>
    <t>Observations</t>
  </si>
  <si>
    <t>Noise-exposure.</t>
  </si>
  <si>
    <t>Centrally located accommodation</t>
  </si>
  <si>
    <t>Accommodation near public transport</t>
  </si>
  <si>
    <t>Already in previous attributes</t>
  </si>
  <si>
    <t>Accesbility to beaches</t>
  </si>
  <si>
    <t>Late check-in</t>
  </si>
  <si>
    <t>Ammenities (AC power, water pressure, mattress, blackout curtains).</t>
  </si>
  <si>
    <t>No hidden fees</t>
  </si>
  <si>
    <t>Updated online information</t>
  </si>
  <si>
    <t>New attribute, interesting, but yet for defining 10 there are more representative cases.</t>
  </si>
  <si>
    <t>Interesting attribute, can be associated to accommodation services.</t>
  </si>
  <si>
    <t>Interesting , but yet can be combined with online information, and also this to some extent is not managable by the city.</t>
  </si>
  <si>
    <t>Touristic packages</t>
  </si>
  <si>
    <t>This is interesting, and can be related to better organization and provide activities.</t>
  </si>
  <si>
    <t>Authentic regional restaurants</t>
  </si>
  <si>
    <t>Heritage routes</t>
  </si>
  <si>
    <t>Can be combined with the Heritage ambience of the historic center</t>
  </si>
  <si>
    <t>Presence of artisan/market</t>
  </si>
  <si>
    <t>Interesting attribute, check if can be representative.</t>
  </si>
  <si>
    <t>Itinerary within walking distance</t>
  </si>
  <si>
    <t>Can be combined with the need of organisation and the distance of accommodations from center or attractions.</t>
  </si>
  <si>
    <t>Ticketing available information</t>
  </si>
  <si>
    <t>This is interesting, as many mentioned about booking but can be combined with available information online.</t>
  </si>
  <si>
    <t>Weather</t>
  </si>
  <si>
    <t>This is usually mentioned by some tourists, but is not a managable attribute.</t>
  </si>
  <si>
    <t>Safety</t>
  </si>
  <si>
    <t>This is interesting, to check when defining attributes.</t>
  </si>
  <si>
    <t>Cultural-immersion</t>
  </si>
  <si>
    <t>Online recommendation</t>
  </si>
  <si>
    <t>Already in previous attributes, and transformed into online and on-site information</t>
  </si>
  <si>
    <t>Availabel tools that help you plan efficiently (maps, pdfs, etc)</t>
  </si>
  <si>
    <t>This is interesting but can be combined with available information online and on-site</t>
  </si>
  <si>
    <t>This is interesting, but should check if is relevant to include, taking into account that I already have something about restaruants.</t>
  </si>
  <si>
    <t>Interesting, also saw this, but not mentioned by many tourists previously.</t>
  </si>
  <si>
    <t>This is also interesting, but again, related to local cuisine.</t>
  </si>
  <si>
    <t>Clearly there is something about this matter, although was not frequent, with this approaches I reinforced the need of providing pre-fix activities so tourists avoid over-planning or FOMO (fearing not seeing something important)</t>
  </si>
  <si>
    <t>Can be combined with previous case</t>
  </si>
  <si>
    <t>Already in previous attributes and as mentioned before, this is stational</t>
  </si>
  <si>
    <t>Can be related to walking distance of accommodation and attractions.</t>
  </si>
  <si>
    <t>This is really interesting attribute, yet it was not mentioned too much, and other attributes are more representative.</t>
  </si>
  <si>
    <t>Related to other attributes already mentioned.</t>
  </si>
  <si>
    <t>This was always mentioned in the different analysis</t>
  </si>
  <si>
    <t>This includes all those comments related to historic and central buildings and atmosphere</t>
  </si>
  <si>
    <t>Accesbility and transportation was frequently mentioned inf different ocations and in different ways. "Public" was added to avoid ambuiguity between those who prefer private from thsoe who prefer public transport.</t>
  </si>
  <si>
    <t>This combines the need of being near the center and the distance of the accommodation</t>
  </si>
  <si>
    <t>At the end, I can say that this attribute was not frequent but always appeared in each stage of the analysis. Combines the need of guided tours to know better the city, with the need or having a flexbile and organsied itinerary.</t>
  </si>
  <si>
    <t>Overtorusim</t>
  </si>
  <si>
    <t>Mentioned once in the interviews, and an intresting attribute</t>
  </si>
  <si>
    <r>
      <t>Replaced "</t>
    </r>
    <r>
      <rPr>
        <b/>
        <sz val="11"/>
        <color theme="1"/>
        <rFont val="Aptos Narrow"/>
        <family val="2"/>
        <scheme val="minor"/>
      </rPr>
      <t>Ease of reaching the city by public transport</t>
    </r>
    <r>
      <rPr>
        <sz val="11"/>
        <color theme="1"/>
        <rFont val="Aptos Narrow"/>
        <family val="2"/>
        <scheme val="minor"/>
      </rPr>
      <t>" as overtourism was an interesting attribute, and also can refer to the idea of proximity to other cities (move around to avoid crowd).</t>
    </r>
  </si>
  <si>
    <t>City located outside major tourist circuits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</si>
</sst>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sz val="10"/>
      <color rgb="FF1F1F1F"/>
      <name val="Arial"/>
      <family val="2"/>
    </font>
    <font>
      <b/>
      <sz val="10"/>
      <color rgb="FF1F1F1F"/>
      <name val="Arial"/>
      <family val="2"/>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5" tint="0.79998168889431442"/>
        <bgColor indexed="64"/>
      </patternFill>
    </fill>
  </fills>
  <borders count="2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auto="1"/>
      </left>
      <right style="thin">
        <color auto="1"/>
      </right>
      <top style="thin">
        <color auto="1"/>
      </top>
      <bottom style="thin">
        <color auto="1"/>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right style="thin">
        <color indexed="64"/>
      </right>
      <top style="thin">
        <color indexed="64"/>
      </top>
      <bottom style="thin">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40">
    <xf numFmtId="0" fontId="0" fillId="0" borderId="0" xfId="0"/>
    <xf numFmtId="0" fontId="0" fillId="0" borderId="0" xfId="0" applyAlignment="1">
      <alignment horizontal="center"/>
    </xf>
    <xf numFmtId="0" fontId="16" fillId="33" borderId="10" xfId="0" applyFont="1" applyFill="1" applyBorder="1" applyAlignment="1">
      <alignment horizontal="center"/>
    </xf>
    <xf numFmtId="0" fontId="0" fillId="0" borderId="11" xfId="0" applyBorder="1" applyAlignment="1">
      <alignment horizontal="center"/>
    </xf>
    <xf numFmtId="0" fontId="0" fillId="0" borderId="12" xfId="0" applyBorder="1" applyAlignment="1">
      <alignment horizontal="center"/>
    </xf>
    <xf numFmtId="0" fontId="16" fillId="0" borderId="0" xfId="0" applyFont="1" applyAlignment="1">
      <alignment horizontal="center" vertical="center"/>
    </xf>
    <xf numFmtId="0" fontId="16" fillId="0" borderId="0" xfId="0" applyFont="1" applyAlignment="1">
      <alignment horizontal="center" vertical="center" wrapText="1"/>
    </xf>
    <xf numFmtId="0" fontId="0" fillId="0" borderId="0" xfId="0" applyAlignment="1">
      <alignment horizontal="center" vertical="center"/>
    </xf>
    <xf numFmtId="0" fontId="0" fillId="0" borderId="0" xfId="0" applyAlignment="1">
      <alignment horizontal="center" vertical="center" wrapText="1"/>
    </xf>
    <xf numFmtId="0" fontId="16" fillId="0" borderId="13" xfId="0" applyFont="1" applyBorder="1" applyAlignment="1">
      <alignment horizontal="center" vertical="top"/>
    </xf>
    <xf numFmtId="0" fontId="16" fillId="0" borderId="0" xfId="0" applyFont="1" applyAlignment="1">
      <alignment horizontal="center"/>
    </xf>
    <xf numFmtId="0" fontId="16" fillId="0" borderId="13" xfId="0" applyFont="1" applyBorder="1" applyAlignment="1">
      <alignment horizontal="center"/>
    </xf>
    <xf numFmtId="0" fontId="18" fillId="0" borderId="13" xfId="0" applyFont="1" applyBorder="1" applyAlignment="1">
      <alignment horizontal="center" vertical="center" wrapText="1"/>
    </xf>
    <xf numFmtId="0" fontId="0" fillId="0" borderId="0" xfId="0" applyAlignment="1">
      <alignment vertical="center"/>
    </xf>
    <xf numFmtId="0" fontId="0" fillId="0" borderId="0" xfId="0" applyAlignment="1">
      <alignment vertical="center" wrapText="1"/>
    </xf>
    <xf numFmtId="0" fontId="0" fillId="0" borderId="14" xfId="0" applyBorder="1" applyAlignment="1">
      <alignment horizontal="center"/>
    </xf>
    <xf numFmtId="0" fontId="0" fillId="0" borderId="15" xfId="0" applyBorder="1" applyAlignment="1">
      <alignment horizontal="center"/>
    </xf>
    <xf numFmtId="0" fontId="0" fillId="0" borderId="16" xfId="0" applyBorder="1" applyAlignment="1">
      <alignment horizontal="center"/>
    </xf>
    <xf numFmtId="0" fontId="0" fillId="0" borderId="17" xfId="0" applyBorder="1" applyAlignment="1">
      <alignment horizontal="center"/>
    </xf>
    <xf numFmtId="0" fontId="0" fillId="0" borderId="18" xfId="0" applyBorder="1" applyAlignment="1">
      <alignment horizontal="center"/>
    </xf>
    <xf numFmtId="0" fontId="16" fillId="0" borderId="13" xfId="0" applyFont="1" applyBorder="1" applyAlignment="1">
      <alignment horizontal="center" vertical="center"/>
    </xf>
    <xf numFmtId="0" fontId="0" fillId="0" borderId="15" xfId="0" applyBorder="1" applyAlignment="1">
      <alignment horizontal="center" vertical="center" wrapText="1"/>
    </xf>
    <xf numFmtId="0" fontId="19" fillId="0" borderId="0" xfId="0" applyFont="1" applyAlignment="1">
      <alignment vertical="center"/>
    </xf>
    <xf numFmtId="0" fontId="18" fillId="0" borderId="13" xfId="0" applyFont="1" applyBorder="1" applyAlignment="1">
      <alignment horizontal="center" vertical="center"/>
    </xf>
    <xf numFmtId="0" fontId="16" fillId="0" borderId="13" xfId="0" applyFont="1" applyBorder="1" applyAlignment="1">
      <alignment horizontal="center" vertical="center" wrapText="1"/>
    </xf>
    <xf numFmtId="0" fontId="16" fillId="0" borderId="19" xfId="0" applyFont="1" applyBorder="1" applyAlignment="1">
      <alignment horizontal="center" vertical="center" wrapText="1"/>
    </xf>
    <xf numFmtId="0" fontId="0" fillId="0" borderId="14" xfId="0" applyBorder="1" applyAlignment="1">
      <alignment horizontal="center" vertical="center" wrapText="1"/>
    </xf>
    <xf numFmtId="0" fontId="0" fillId="0" borderId="16" xfId="0" applyBorder="1" applyAlignment="1">
      <alignment horizontal="center" vertical="center" wrapText="1"/>
    </xf>
    <xf numFmtId="0" fontId="0" fillId="0" borderId="17" xfId="0" applyBorder="1" applyAlignment="1">
      <alignment horizontal="center" vertical="center" wrapText="1"/>
    </xf>
    <xf numFmtId="0" fontId="0" fillId="0" borderId="18" xfId="0" applyBorder="1" applyAlignment="1">
      <alignment horizontal="center" vertical="center" wrapText="1"/>
    </xf>
    <xf numFmtId="0" fontId="0" fillId="0" borderId="13" xfId="0" applyBorder="1" applyAlignment="1">
      <alignment horizontal="center"/>
    </xf>
    <xf numFmtId="0" fontId="16" fillId="33" borderId="10" xfId="0" applyFont="1" applyFill="1" applyBorder="1" applyAlignment="1">
      <alignment horizontal="center" vertical="center"/>
    </xf>
    <xf numFmtId="0" fontId="16" fillId="33" borderId="10" xfId="0" applyFont="1" applyFill="1" applyBorder="1" applyAlignment="1">
      <alignment horizontal="center" vertical="center" wrapText="1"/>
    </xf>
    <xf numFmtId="0" fontId="0" fillId="0" borderId="11" xfId="0" applyBorder="1" applyAlignment="1">
      <alignment horizontal="center" vertical="center"/>
    </xf>
    <xf numFmtId="0" fontId="0" fillId="0" borderId="11" xfId="0" applyBorder="1" applyAlignment="1">
      <alignment horizontal="center" vertical="center" wrapText="1"/>
    </xf>
    <xf numFmtId="0" fontId="0" fillId="0" borderId="12" xfId="0" applyBorder="1" applyAlignment="1">
      <alignment horizontal="center" vertical="center"/>
    </xf>
    <xf numFmtId="0" fontId="0" fillId="0" borderId="12" xfId="0" applyBorder="1" applyAlignment="1">
      <alignment horizontal="center" vertical="center" wrapText="1"/>
    </xf>
    <xf numFmtId="0" fontId="0" fillId="0" borderId="11" xfId="0" applyBorder="1" applyAlignment="1">
      <alignment horizontal="center" wrapText="1"/>
    </xf>
    <xf numFmtId="0" fontId="0" fillId="0" borderId="13" xfId="0" applyBorder="1" applyAlignment="1">
      <alignment horizontal="center" vertical="center"/>
    </xf>
    <xf numFmtId="0" fontId="0" fillId="0" borderId="13" xfId="0" applyBorder="1" applyAlignment="1">
      <alignment horizontal="center" vertical="center"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
    <dxf>
      <font>
        <color rgb="FF006100"/>
      </font>
      <fill>
        <patternFill>
          <bgColor rgb="FFC6EF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onnections" Target="connections.xml"/><Relationship Id="rId5" Type="http://schemas.openxmlformats.org/officeDocument/2006/relationships/worksheet" Target="worksheets/sheet5.xml"/><Relationship Id="rId15" Type="http://schemas.openxmlformats.org/officeDocument/2006/relationships/customXml" Target="../customXml/item1.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32CECC-0ABF-4430-A80C-09D6A62C6AD3}">
  <dimension ref="A1:F11"/>
  <sheetViews>
    <sheetView showGridLines="0" tabSelected="1" workbookViewId="0">
      <selection activeCell="F7" sqref="F7"/>
    </sheetView>
  </sheetViews>
  <sheetFormatPr defaultRowHeight="14.4" x14ac:dyDescent="0.3"/>
  <cols>
    <col min="1" max="1" width="29.5546875" style="7" customWidth="1"/>
    <col min="2" max="2" width="3.109375" style="13" customWidth="1"/>
    <col min="3" max="3" width="35.77734375" style="13" bestFit="1" customWidth="1"/>
    <col min="4" max="4" width="3.109375" style="13" customWidth="1"/>
    <col min="5" max="5" width="45.21875" style="13" customWidth="1"/>
    <col min="6" max="6" width="86.21875" style="13" bestFit="1" customWidth="1"/>
    <col min="7" max="16384" width="8.88671875" style="13"/>
  </cols>
  <sheetData>
    <row r="1" spans="1:6" x14ac:dyDescent="0.3">
      <c r="A1" s="20" t="s">
        <v>180</v>
      </c>
      <c r="C1" s="20" t="s">
        <v>189</v>
      </c>
      <c r="E1" s="20" t="s">
        <v>190</v>
      </c>
    </row>
    <row r="2" spans="1:6" x14ac:dyDescent="0.3">
      <c r="A2" s="38" t="s">
        <v>181</v>
      </c>
      <c r="C2" s="38" t="s">
        <v>102</v>
      </c>
      <c r="E2" s="38" t="s">
        <v>172</v>
      </c>
    </row>
    <row r="3" spans="1:6" x14ac:dyDescent="0.3">
      <c r="A3" s="38" t="s">
        <v>182</v>
      </c>
      <c r="C3" s="38" t="s">
        <v>103</v>
      </c>
      <c r="E3" s="38" t="s">
        <v>103</v>
      </c>
    </row>
    <row r="4" spans="1:6" x14ac:dyDescent="0.3">
      <c r="A4" s="38" t="s">
        <v>183</v>
      </c>
      <c r="C4" s="38" t="s">
        <v>104</v>
      </c>
      <c r="E4" s="38" t="s">
        <v>104</v>
      </c>
    </row>
    <row r="5" spans="1:6" x14ac:dyDescent="0.3">
      <c r="A5" s="38" t="s">
        <v>184</v>
      </c>
      <c r="C5" s="38" t="s">
        <v>105</v>
      </c>
      <c r="E5" s="38" t="s">
        <v>169</v>
      </c>
    </row>
    <row r="6" spans="1:6" x14ac:dyDescent="0.3">
      <c r="A6" s="38" t="s">
        <v>185</v>
      </c>
      <c r="C6" s="38" t="s">
        <v>106</v>
      </c>
      <c r="E6" s="38" t="s">
        <v>168</v>
      </c>
    </row>
    <row r="7" spans="1:6" ht="28.8" x14ac:dyDescent="0.3">
      <c r="A7" s="38" t="s">
        <v>186</v>
      </c>
      <c r="C7" s="38" t="s">
        <v>142</v>
      </c>
      <c r="E7" s="38" t="s">
        <v>285</v>
      </c>
      <c r="F7" s="26" t="s">
        <v>284</v>
      </c>
    </row>
    <row r="8" spans="1:6" x14ac:dyDescent="0.3">
      <c r="A8" s="38" t="s">
        <v>187</v>
      </c>
      <c r="C8" s="38" t="s">
        <v>143</v>
      </c>
      <c r="E8" s="38" t="s">
        <v>170</v>
      </c>
      <c r="F8" s="14"/>
    </row>
    <row r="9" spans="1:6" ht="28.8" x14ac:dyDescent="0.3">
      <c r="A9" s="38" t="s">
        <v>188</v>
      </c>
      <c r="C9" s="38" t="s">
        <v>58</v>
      </c>
      <c r="E9" s="39" t="s">
        <v>171</v>
      </c>
    </row>
    <row r="10" spans="1:6" x14ac:dyDescent="0.3">
      <c r="C10" s="38" t="s">
        <v>132</v>
      </c>
      <c r="E10" s="38" t="s">
        <v>173</v>
      </c>
    </row>
    <row r="11" spans="1:6" x14ac:dyDescent="0.3">
      <c r="C11" s="38" t="s">
        <v>144</v>
      </c>
      <c r="E11" s="38" t="s">
        <v>174</v>
      </c>
      <c r="F11" s="14"/>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B2167B-80CA-4E4B-99D3-44B58628E678}">
  <sheetPr>
    <tabColor rgb="FF00B050"/>
  </sheetPr>
  <dimension ref="A1:C22"/>
  <sheetViews>
    <sheetView workbookViewId="0">
      <selection activeCell="A9" sqref="A9"/>
    </sheetView>
  </sheetViews>
  <sheetFormatPr defaultRowHeight="14.4" x14ac:dyDescent="0.3"/>
  <cols>
    <col min="1" max="1" width="66.88671875" style="7" bestFit="1" customWidth="1"/>
    <col min="2" max="2" width="87.21875" style="8" bestFit="1" customWidth="1"/>
    <col min="3" max="3" width="69.44140625" style="8" bestFit="1" customWidth="1"/>
    <col min="4" max="16384" width="8.88671875" style="7"/>
  </cols>
  <sheetData>
    <row r="1" spans="1:2" x14ac:dyDescent="0.3">
      <c r="A1" s="5" t="s">
        <v>0</v>
      </c>
      <c r="B1" s="6" t="s">
        <v>59</v>
      </c>
    </row>
    <row r="2" spans="1:2" x14ac:dyDescent="0.3">
      <c r="A2" s="7" t="s">
        <v>172</v>
      </c>
      <c r="B2" s="8" t="s">
        <v>175</v>
      </c>
    </row>
    <row r="3" spans="1:2" x14ac:dyDescent="0.3">
      <c r="A3" s="7" t="s">
        <v>104</v>
      </c>
      <c r="B3" s="8" t="s">
        <v>277</v>
      </c>
    </row>
    <row r="4" spans="1:2" x14ac:dyDescent="0.3">
      <c r="A4" s="7" t="s">
        <v>103</v>
      </c>
      <c r="B4" s="8" t="s">
        <v>278</v>
      </c>
    </row>
    <row r="5" spans="1:2" ht="43.2" x14ac:dyDescent="0.3">
      <c r="A5" s="7" t="s">
        <v>142</v>
      </c>
      <c r="B5" s="8" t="s">
        <v>279</v>
      </c>
    </row>
    <row r="6" spans="1:2" x14ac:dyDescent="0.3">
      <c r="A6" s="7" t="s">
        <v>168</v>
      </c>
      <c r="B6" s="8" t="s">
        <v>176</v>
      </c>
    </row>
    <row r="7" spans="1:2" x14ac:dyDescent="0.3">
      <c r="A7" s="7" t="s">
        <v>169</v>
      </c>
      <c r="B7" s="8" t="s">
        <v>280</v>
      </c>
    </row>
    <row r="8" spans="1:2" x14ac:dyDescent="0.3">
      <c r="A8" s="7" t="s">
        <v>171</v>
      </c>
      <c r="B8" s="7" t="s">
        <v>178</v>
      </c>
    </row>
    <row r="9" spans="1:2" x14ac:dyDescent="0.3">
      <c r="A9" s="7" t="s">
        <v>170</v>
      </c>
      <c r="B9" s="7" t="s">
        <v>177</v>
      </c>
    </row>
    <row r="10" spans="1:2" ht="43.2" x14ac:dyDescent="0.3">
      <c r="A10" s="7" t="s">
        <v>173</v>
      </c>
      <c r="B10" s="8" t="s">
        <v>281</v>
      </c>
    </row>
    <row r="11" spans="1:2" x14ac:dyDescent="0.3">
      <c r="A11" s="7" t="s">
        <v>174</v>
      </c>
      <c r="B11" s="7" t="s">
        <v>179</v>
      </c>
    </row>
    <row r="13" spans="1:2" x14ac:dyDescent="0.3">
      <c r="B13" s="7"/>
    </row>
    <row r="14" spans="1:2" x14ac:dyDescent="0.3">
      <c r="B14" s="7"/>
    </row>
    <row r="15" spans="1:2" x14ac:dyDescent="0.3">
      <c r="B15" s="7"/>
    </row>
    <row r="16" spans="1:2" x14ac:dyDescent="0.3">
      <c r="B16" s="7"/>
    </row>
    <row r="17" spans="2:2" x14ac:dyDescent="0.3">
      <c r="B17" s="7"/>
    </row>
    <row r="18" spans="2:2" x14ac:dyDescent="0.3">
      <c r="B18" s="7"/>
    </row>
    <row r="19" spans="2:2" x14ac:dyDescent="0.3">
      <c r="B19" s="7"/>
    </row>
    <row r="20" spans="2:2" x14ac:dyDescent="0.3">
      <c r="B20" s="7"/>
    </row>
    <row r="21" spans="2:2" x14ac:dyDescent="0.3">
      <c r="B21" s="7"/>
    </row>
    <row r="22" spans="2:2" x14ac:dyDescent="0.3">
      <c r="B22" s="7"/>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D004CF-400B-48FE-A209-2ACF427E9E83}">
  <dimension ref="A1:B24"/>
  <sheetViews>
    <sheetView workbookViewId="0">
      <selection activeCell="A14" sqref="A14"/>
    </sheetView>
  </sheetViews>
  <sheetFormatPr defaultRowHeight="14.4" x14ac:dyDescent="0.3"/>
  <cols>
    <col min="1" max="1" width="63.77734375" style="7" customWidth="1"/>
    <col min="2" max="2" width="116.21875" customWidth="1"/>
  </cols>
  <sheetData>
    <row r="1" spans="1:2" x14ac:dyDescent="0.3">
      <c r="A1" s="20" t="s">
        <v>0</v>
      </c>
      <c r="B1" s="20" t="s">
        <v>222</v>
      </c>
    </row>
    <row r="2" spans="1:2" x14ac:dyDescent="0.3">
      <c r="A2" s="12" t="s">
        <v>145</v>
      </c>
      <c r="B2" s="30" t="s">
        <v>239</v>
      </c>
    </row>
    <row r="3" spans="1:2" x14ac:dyDescent="0.3">
      <c r="A3" s="12" t="s">
        <v>146</v>
      </c>
      <c r="B3" s="30" t="s">
        <v>239</v>
      </c>
    </row>
    <row r="4" spans="1:2" x14ac:dyDescent="0.3">
      <c r="A4" s="12" t="s">
        <v>147</v>
      </c>
      <c r="B4" s="30" t="s">
        <v>239</v>
      </c>
    </row>
    <row r="5" spans="1:2" x14ac:dyDescent="0.3">
      <c r="A5" s="12" t="s">
        <v>148</v>
      </c>
      <c r="B5" s="30" t="s">
        <v>239</v>
      </c>
    </row>
    <row r="6" spans="1:2" x14ac:dyDescent="0.3">
      <c r="A6" s="12" t="s">
        <v>149</v>
      </c>
      <c r="B6" s="30" t="s">
        <v>239</v>
      </c>
    </row>
    <row r="7" spans="1:2" x14ac:dyDescent="0.3">
      <c r="A7" s="12" t="s">
        <v>150</v>
      </c>
      <c r="B7" s="30" t="s">
        <v>239</v>
      </c>
    </row>
    <row r="8" spans="1:2" x14ac:dyDescent="0.3">
      <c r="A8" s="12" t="s">
        <v>151</v>
      </c>
      <c r="B8" s="30" t="s">
        <v>239</v>
      </c>
    </row>
    <row r="9" spans="1:2" x14ac:dyDescent="0.3">
      <c r="A9" s="12" t="s">
        <v>152</v>
      </c>
      <c r="B9" s="3" t="s">
        <v>268</v>
      </c>
    </row>
    <row r="10" spans="1:2" x14ac:dyDescent="0.3">
      <c r="A10" s="12" t="s">
        <v>153</v>
      </c>
      <c r="B10" s="3" t="s">
        <v>269</v>
      </c>
    </row>
    <row r="11" spans="1:2" x14ac:dyDescent="0.3">
      <c r="A11" s="12" t="s">
        <v>154</v>
      </c>
      <c r="B11" s="30" t="s">
        <v>270</v>
      </c>
    </row>
    <row r="12" spans="1:2" x14ac:dyDescent="0.3">
      <c r="A12" s="12" t="s">
        <v>155</v>
      </c>
      <c r="B12" s="30" t="s">
        <v>239</v>
      </c>
    </row>
    <row r="13" spans="1:2" ht="28.8" x14ac:dyDescent="0.3">
      <c r="A13" s="12" t="s">
        <v>156</v>
      </c>
      <c r="B13" s="37" t="s">
        <v>271</v>
      </c>
    </row>
    <row r="14" spans="1:2" x14ac:dyDescent="0.3">
      <c r="A14" s="12" t="s">
        <v>157</v>
      </c>
      <c r="B14" s="3" t="s">
        <v>272</v>
      </c>
    </row>
    <row r="15" spans="1:2" x14ac:dyDescent="0.3">
      <c r="A15" s="12" t="s">
        <v>158</v>
      </c>
      <c r="B15" s="30" t="s">
        <v>273</v>
      </c>
    </row>
    <row r="16" spans="1:2" x14ac:dyDescent="0.3">
      <c r="A16" s="12" t="s">
        <v>159</v>
      </c>
      <c r="B16" s="30" t="s">
        <v>274</v>
      </c>
    </row>
    <row r="17" spans="1:2" x14ac:dyDescent="0.3">
      <c r="A17" s="12" t="s">
        <v>160</v>
      </c>
      <c r="B17" s="3" t="s">
        <v>276</v>
      </c>
    </row>
    <row r="18" spans="1:2" x14ac:dyDescent="0.3">
      <c r="A18" s="12" t="s">
        <v>161</v>
      </c>
      <c r="B18" s="30" t="s">
        <v>239</v>
      </c>
    </row>
    <row r="19" spans="1:2" x14ac:dyDescent="0.3">
      <c r="A19" s="12" t="s">
        <v>162</v>
      </c>
      <c r="B19" s="30" t="s">
        <v>239</v>
      </c>
    </row>
    <row r="20" spans="1:2" x14ac:dyDescent="0.3">
      <c r="A20" s="12" t="s">
        <v>163</v>
      </c>
      <c r="B20" s="30" t="s">
        <v>239</v>
      </c>
    </row>
    <row r="21" spans="1:2" x14ac:dyDescent="0.3">
      <c r="A21" s="12" t="s">
        <v>164</v>
      </c>
      <c r="B21" s="30" t="s">
        <v>239</v>
      </c>
    </row>
    <row r="22" spans="1:2" x14ac:dyDescent="0.3">
      <c r="A22" s="12" t="s">
        <v>165</v>
      </c>
      <c r="B22" s="30" t="s">
        <v>239</v>
      </c>
    </row>
    <row r="23" spans="1:2" x14ac:dyDescent="0.3">
      <c r="A23" s="12" t="s">
        <v>166</v>
      </c>
      <c r="B23" s="30" t="s">
        <v>239</v>
      </c>
    </row>
    <row r="24" spans="1:2" x14ac:dyDescent="0.3">
      <c r="A24" s="12" t="s">
        <v>167</v>
      </c>
      <c r="B24" s="3" t="s">
        <v>275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BBD249-A1E7-43DF-9246-67B68F7E61DE}">
  <dimension ref="A1:F21"/>
  <sheetViews>
    <sheetView workbookViewId="0"/>
  </sheetViews>
  <sheetFormatPr defaultRowHeight="14.4" x14ac:dyDescent="0.3"/>
  <cols>
    <col min="1" max="1" width="72.6640625" style="7" bestFit="1" customWidth="1"/>
    <col min="2" max="2" width="95.77734375" style="1" bestFit="1" customWidth="1"/>
  </cols>
  <sheetData>
    <row r="1" spans="1:6" x14ac:dyDescent="0.3">
      <c r="A1" s="20" t="s">
        <v>0</v>
      </c>
      <c r="B1" s="20" t="s">
        <v>235</v>
      </c>
    </row>
    <row r="2" spans="1:6" x14ac:dyDescent="0.3">
      <c r="A2" s="23" t="s">
        <v>237</v>
      </c>
      <c r="B2" s="30" t="s">
        <v>239</v>
      </c>
      <c r="F2" s="22"/>
    </row>
    <row r="3" spans="1:6" x14ac:dyDescent="0.3">
      <c r="A3" s="23" t="s">
        <v>238</v>
      </c>
      <c r="B3" s="30" t="s">
        <v>239</v>
      </c>
      <c r="F3" s="22"/>
    </row>
    <row r="4" spans="1:6" x14ac:dyDescent="0.3">
      <c r="A4" s="23" t="s">
        <v>236</v>
      </c>
      <c r="B4" s="30" t="s">
        <v>245</v>
      </c>
    </row>
    <row r="5" spans="1:6" x14ac:dyDescent="0.3">
      <c r="A5" s="23" t="s">
        <v>240</v>
      </c>
      <c r="B5" s="30" t="s">
        <v>239</v>
      </c>
    </row>
    <row r="6" spans="1:6" x14ac:dyDescent="0.3">
      <c r="A6" s="23" t="s">
        <v>241</v>
      </c>
      <c r="B6" s="30" t="s">
        <v>246</v>
      </c>
    </row>
    <row r="7" spans="1:6" x14ac:dyDescent="0.3">
      <c r="A7" s="23" t="s">
        <v>242</v>
      </c>
      <c r="B7" s="30" t="s">
        <v>239</v>
      </c>
    </row>
    <row r="8" spans="1:6" x14ac:dyDescent="0.3">
      <c r="A8" s="23" t="s">
        <v>243</v>
      </c>
      <c r="B8" s="30" t="s">
        <v>247</v>
      </c>
    </row>
    <row r="9" spans="1:6" x14ac:dyDescent="0.3">
      <c r="A9" s="23" t="s">
        <v>244</v>
      </c>
      <c r="B9" s="30" t="s">
        <v>239</v>
      </c>
    </row>
    <row r="10" spans="1:6" x14ac:dyDescent="0.3">
      <c r="A10" s="23" t="s">
        <v>248</v>
      </c>
      <c r="B10" s="30" t="s">
        <v>249</v>
      </c>
    </row>
    <row r="11" spans="1:6" x14ac:dyDescent="0.3">
      <c r="A11" s="23" t="s">
        <v>250</v>
      </c>
      <c r="B11" s="30" t="s">
        <v>239</v>
      </c>
    </row>
    <row r="12" spans="1:6" x14ac:dyDescent="0.3">
      <c r="A12" s="23" t="s">
        <v>251</v>
      </c>
      <c r="B12" s="30" t="s">
        <v>252</v>
      </c>
    </row>
    <row r="13" spans="1:6" x14ac:dyDescent="0.3">
      <c r="A13" s="23" t="s">
        <v>253</v>
      </c>
      <c r="B13" s="30" t="s">
        <v>254</v>
      </c>
    </row>
    <row r="14" spans="1:6" x14ac:dyDescent="0.3">
      <c r="A14" s="23" t="s">
        <v>255</v>
      </c>
      <c r="B14" s="30" t="s">
        <v>256</v>
      </c>
    </row>
    <row r="15" spans="1:6" x14ac:dyDescent="0.3">
      <c r="A15" s="23" t="s">
        <v>257</v>
      </c>
      <c r="B15" s="30" t="s">
        <v>258</v>
      </c>
    </row>
    <row r="16" spans="1:6" x14ac:dyDescent="0.3">
      <c r="A16" s="23" t="s">
        <v>259</v>
      </c>
      <c r="B16" s="30" t="s">
        <v>260</v>
      </c>
    </row>
    <row r="17" spans="1:2" x14ac:dyDescent="0.3">
      <c r="A17" s="23" t="s">
        <v>261</v>
      </c>
      <c r="B17" s="30" t="s">
        <v>262</v>
      </c>
    </row>
    <row r="18" spans="1:2" x14ac:dyDescent="0.3">
      <c r="A18" s="23" t="s">
        <v>263</v>
      </c>
      <c r="B18" s="30" t="s">
        <v>239</v>
      </c>
    </row>
    <row r="19" spans="1:2" x14ac:dyDescent="0.3">
      <c r="A19" s="23" t="s">
        <v>266</v>
      </c>
      <c r="B19" s="30" t="s">
        <v>267</v>
      </c>
    </row>
    <row r="20" spans="1:2" x14ac:dyDescent="0.3">
      <c r="A20" s="23" t="s">
        <v>264</v>
      </c>
      <c r="B20" s="30" t="s">
        <v>265</v>
      </c>
    </row>
    <row r="21" spans="1:2" x14ac:dyDescent="0.3">
      <c r="A21" s="23" t="s">
        <v>282</v>
      </c>
      <c r="B21" s="30" t="s">
        <v>283</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35974D-1E8B-4D6B-B792-45DE29931EED}">
  <sheetPr>
    <tabColor rgb="FF00B050"/>
  </sheetPr>
  <dimension ref="A1:B15"/>
  <sheetViews>
    <sheetView workbookViewId="0"/>
  </sheetViews>
  <sheetFormatPr defaultRowHeight="14.4" x14ac:dyDescent="0.3"/>
  <cols>
    <col min="1" max="1" width="35.77734375" style="1" bestFit="1" customWidth="1"/>
  </cols>
  <sheetData>
    <row r="1" spans="1:2" x14ac:dyDescent="0.3">
      <c r="A1" s="11" t="s">
        <v>0</v>
      </c>
      <c r="B1" s="10"/>
    </row>
    <row r="2" spans="1:2" x14ac:dyDescent="0.3">
      <c r="A2" s="30" t="s">
        <v>102</v>
      </c>
    </row>
    <row r="3" spans="1:2" x14ac:dyDescent="0.3">
      <c r="A3" s="30" t="s">
        <v>103</v>
      </c>
    </row>
    <row r="4" spans="1:2" x14ac:dyDescent="0.3">
      <c r="A4" s="30" t="s">
        <v>104</v>
      </c>
    </row>
    <row r="5" spans="1:2" x14ac:dyDescent="0.3">
      <c r="A5" s="30" t="s">
        <v>105</v>
      </c>
    </row>
    <row r="6" spans="1:2" x14ac:dyDescent="0.3">
      <c r="A6" s="30" t="s">
        <v>106</v>
      </c>
    </row>
    <row r="7" spans="1:2" x14ac:dyDescent="0.3">
      <c r="A7" s="30" t="s">
        <v>142</v>
      </c>
    </row>
    <row r="8" spans="1:2" x14ac:dyDescent="0.3">
      <c r="A8" s="30" t="s">
        <v>143</v>
      </c>
    </row>
    <row r="9" spans="1:2" x14ac:dyDescent="0.3">
      <c r="A9" s="30" t="s">
        <v>58</v>
      </c>
    </row>
    <row r="10" spans="1:2" x14ac:dyDescent="0.3">
      <c r="A10" s="30" t="s">
        <v>132</v>
      </c>
    </row>
    <row r="11" spans="1:2" x14ac:dyDescent="0.3">
      <c r="A11" s="30" t="s">
        <v>144</v>
      </c>
    </row>
    <row r="14" spans="1:2" x14ac:dyDescent="0.3">
      <c r="A14" s="7"/>
    </row>
    <row r="15" spans="1:2" x14ac:dyDescent="0.3">
      <c r="A15" s="7"/>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3E7FF2-47BB-4C40-BD9E-1B45503CF1C0}">
  <dimension ref="A1:C19"/>
  <sheetViews>
    <sheetView workbookViewId="0">
      <selection activeCell="B4" sqref="B4"/>
    </sheetView>
  </sheetViews>
  <sheetFormatPr defaultRowHeight="14.4" x14ac:dyDescent="0.3"/>
  <cols>
    <col min="1" max="1" width="41" style="8" bestFit="1" customWidth="1"/>
    <col min="2" max="2" width="68.5546875" style="8" customWidth="1"/>
    <col min="3" max="3" width="75.33203125" style="8" bestFit="1" customWidth="1"/>
    <col min="4" max="16384" width="8.88671875" style="14"/>
  </cols>
  <sheetData>
    <row r="1" spans="1:3" x14ac:dyDescent="0.3">
      <c r="A1" s="24" t="s">
        <v>0</v>
      </c>
      <c r="B1" s="24" t="s">
        <v>108</v>
      </c>
      <c r="C1" s="25" t="s">
        <v>222</v>
      </c>
    </row>
    <row r="2" spans="1:3" ht="43.2" x14ac:dyDescent="0.3">
      <c r="A2" s="26" t="s">
        <v>109</v>
      </c>
      <c r="B2" s="8" t="s">
        <v>110</v>
      </c>
      <c r="C2" s="21" t="s">
        <v>226</v>
      </c>
    </row>
    <row r="3" spans="1:3" ht="28.8" x14ac:dyDescent="0.3">
      <c r="A3" s="26" t="s">
        <v>111</v>
      </c>
      <c r="B3" s="8" t="s">
        <v>112</v>
      </c>
      <c r="C3" s="21"/>
    </row>
    <row r="4" spans="1:3" ht="28.8" x14ac:dyDescent="0.3">
      <c r="A4" s="26" t="s">
        <v>113</v>
      </c>
      <c r="B4" s="8" t="s">
        <v>114</v>
      </c>
      <c r="C4" s="21" t="s">
        <v>227</v>
      </c>
    </row>
    <row r="5" spans="1:3" x14ac:dyDescent="0.3">
      <c r="A5" s="26" t="s">
        <v>104</v>
      </c>
      <c r="B5" s="8" t="s">
        <v>115</v>
      </c>
      <c r="C5" s="21"/>
    </row>
    <row r="6" spans="1:3" ht="28.8" x14ac:dyDescent="0.3">
      <c r="A6" s="26" t="s">
        <v>105</v>
      </c>
      <c r="B6" s="8" t="s">
        <v>116</v>
      </c>
      <c r="C6" s="21" t="s">
        <v>223</v>
      </c>
    </row>
    <row r="7" spans="1:3" x14ac:dyDescent="0.3">
      <c r="A7" s="26" t="s">
        <v>117</v>
      </c>
      <c r="B7" s="8" t="s">
        <v>118</v>
      </c>
      <c r="C7" s="21"/>
    </row>
    <row r="8" spans="1:3" x14ac:dyDescent="0.3">
      <c r="A8" s="26" t="s">
        <v>119</v>
      </c>
      <c r="B8" s="8" t="s">
        <v>120</v>
      </c>
      <c r="C8" s="21" t="s">
        <v>224</v>
      </c>
    </row>
    <row r="9" spans="1:3" x14ac:dyDescent="0.3">
      <c r="A9" s="26" t="s">
        <v>121</v>
      </c>
      <c r="B9" s="8" t="s">
        <v>122</v>
      </c>
      <c r="C9" s="21" t="s">
        <v>228</v>
      </c>
    </row>
    <row r="10" spans="1:3" ht="28.8" x14ac:dyDescent="0.3">
      <c r="A10" s="26" t="s">
        <v>123</v>
      </c>
      <c r="B10" s="8" t="s">
        <v>124</v>
      </c>
      <c r="C10" s="21" t="s">
        <v>229</v>
      </c>
    </row>
    <row r="11" spans="1:3" x14ac:dyDescent="0.3">
      <c r="A11" s="26" t="s">
        <v>125</v>
      </c>
      <c r="B11" s="8" t="s">
        <v>126</v>
      </c>
      <c r="C11" s="21" t="s">
        <v>230</v>
      </c>
    </row>
    <row r="12" spans="1:3" x14ac:dyDescent="0.3">
      <c r="A12" s="26" t="s">
        <v>107</v>
      </c>
      <c r="B12" s="8" t="s">
        <v>127</v>
      </c>
      <c r="C12" s="21" t="s">
        <v>231</v>
      </c>
    </row>
    <row r="13" spans="1:3" x14ac:dyDescent="0.3">
      <c r="A13" s="26" t="s">
        <v>128</v>
      </c>
      <c r="B13" s="8" t="s">
        <v>129</v>
      </c>
      <c r="C13" s="21"/>
    </row>
    <row r="14" spans="1:3" x14ac:dyDescent="0.3">
      <c r="A14" s="26" t="s">
        <v>130</v>
      </c>
      <c r="B14" s="8" t="s">
        <v>131</v>
      </c>
      <c r="C14" s="21" t="s">
        <v>232</v>
      </c>
    </row>
    <row r="15" spans="1:3" x14ac:dyDescent="0.3">
      <c r="A15" s="26" t="s">
        <v>132</v>
      </c>
      <c r="B15" s="8" t="s">
        <v>133</v>
      </c>
      <c r="C15" s="21"/>
    </row>
    <row r="16" spans="1:3" ht="57.6" x14ac:dyDescent="0.3">
      <c r="A16" s="26" t="s">
        <v>134</v>
      </c>
      <c r="B16" s="8" t="s">
        <v>135</v>
      </c>
      <c r="C16" s="21" t="s">
        <v>233</v>
      </c>
    </row>
    <row r="17" spans="1:3" x14ac:dyDescent="0.3">
      <c r="A17" s="26" t="s">
        <v>136</v>
      </c>
      <c r="B17" s="8" t="s">
        <v>137</v>
      </c>
      <c r="C17" s="21"/>
    </row>
    <row r="18" spans="1:3" x14ac:dyDescent="0.3">
      <c r="A18" s="26" t="s">
        <v>138</v>
      </c>
      <c r="B18" s="8" t="s">
        <v>139</v>
      </c>
      <c r="C18" s="21" t="s">
        <v>234</v>
      </c>
    </row>
    <row r="19" spans="1:3" x14ac:dyDescent="0.3">
      <c r="A19" s="27" t="s">
        <v>140</v>
      </c>
      <c r="B19" s="28" t="s">
        <v>141</v>
      </c>
      <c r="C19" s="29" t="s">
        <v>225</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9F90F1-9B4F-4DDC-ACBE-ED45C29C359A}">
  <dimension ref="A1:C21"/>
  <sheetViews>
    <sheetView workbookViewId="0">
      <selection activeCell="A10" sqref="A10"/>
    </sheetView>
  </sheetViews>
  <sheetFormatPr defaultRowHeight="14.4" x14ac:dyDescent="0.3"/>
  <cols>
    <col min="1" max="1" width="46.6640625" bestFit="1" customWidth="1"/>
    <col min="2" max="2" width="9.6640625" bestFit="1" customWidth="1"/>
    <col min="3" max="3" width="24.5546875" bestFit="1" customWidth="1"/>
  </cols>
  <sheetData>
    <row r="1" spans="1:3" x14ac:dyDescent="0.3">
      <c r="A1" s="9" t="s">
        <v>60</v>
      </c>
      <c r="B1" s="9" t="s">
        <v>1</v>
      </c>
      <c r="C1" s="9" t="s">
        <v>61</v>
      </c>
    </row>
    <row r="2" spans="1:3" x14ac:dyDescent="0.3">
      <c r="A2" s="15" t="s">
        <v>62</v>
      </c>
      <c r="B2" s="1">
        <v>10</v>
      </c>
      <c r="C2" s="16" t="s">
        <v>63</v>
      </c>
    </row>
    <row r="3" spans="1:3" x14ac:dyDescent="0.3">
      <c r="A3" s="15" t="s">
        <v>64</v>
      </c>
      <c r="B3" s="1">
        <v>9</v>
      </c>
      <c r="C3" s="16" t="s">
        <v>65</v>
      </c>
    </row>
    <row r="4" spans="1:3" x14ac:dyDescent="0.3">
      <c r="A4" s="15" t="s">
        <v>66</v>
      </c>
      <c r="B4" s="1">
        <v>7</v>
      </c>
      <c r="C4" s="16" t="s">
        <v>67</v>
      </c>
    </row>
    <row r="5" spans="1:3" x14ac:dyDescent="0.3">
      <c r="A5" s="15" t="s">
        <v>68</v>
      </c>
      <c r="B5" s="1">
        <v>7</v>
      </c>
      <c r="C5" s="16" t="s">
        <v>69</v>
      </c>
    </row>
    <row r="6" spans="1:3" x14ac:dyDescent="0.3">
      <c r="A6" s="15" t="s">
        <v>70</v>
      </c>
      <c r="B6" s="1">
        <v>6</v>
      </c>
      <c r="C6" s="16" t="s">
        <v>71</v>
      </c>
    </row>
    <row r="7" spans="1:3" x14ac:dyDescent="0.3">
      <c r="A7" s="15" t="s">
        <v>72</v>
      </c>
      <c r="B7" s="1">
        <v>6</v>
      </c>
      <c r="C7" s="16" t="s">
        <v>73</v>
      </c>
    </row>
    <row r="8" spans="1:3" x14ac:dyDescent="0.3">
      <c r="A8" s="15" t="s">
        <v>74</v>
      </c>
      <c r="B8" s="1">
        <v>5</v>
      </c>
      <c r="C8" s="16" t="s">
        <v>75</v>
      </c>
    </row>
    <row r="9" spans="1:3" x14ac:dyDescent="0.3">
      <c r="A9" s="15" t="s">
        <v>76</v>
      </c>
      <c r="B9" s="1">
        <v>5</v>
      </c>
      <c r="C9" s="16" t="s">
        <v>77</v>
      </c>
    </row>
    <row r="10" spans="1:3" x14ac:dyDescent="0.3">
      <c r="A10" s="15" t="s">
        <v>78</v>
      </c>
      <c r="B10" s="1">
        <v>4</v>
      </c>
      <c r="C10" s="16" t="s">
        <v>79</v>
      </c>
    </row>
    <row r="11" spans="1:3" x14ac:dyDescent="0.3">
      <c r="A11" s="15" t="s">
        <v>80</v>
      </c>
      <c r="B11" s="1">
        <v>4</v>
      </c>
      <c r="C11" s="16" t="s">
        <v>81</v>
      </c>
    </row>
    <row r="12" spans="1:3" x14ac:dyDescent="0.3">
      <c r="A12" s="15" t="s">
        <v>82</v>
      </c>
      <c r="B12" s="1">
        <v>4</v>
      </c>
      <c r="C12" s="16" t="s">
        <v>83</v>
      </c>
    </row>
    <row r="13" spans="1:3" x14ac:dyDescent="0.3">
      <c r="A13" s="15" t="s">
        <v>84</v>
      </c>
      <c r="B13" s="1">
        <v>3</v>
      </c>
      <c r="C13" s="16" t="s">
        <v>85</v>
      </c>
    </row>
    <row r="14" spans="1:3" x14ac:dyDescent="0.3">
      <c r="A14" s="15" t="s">
        <v>86</v>
      </c>
      <c r="B14" s="1">
        <v>3</v>
      </c>
      <c r="C14" s="16" t="s">
        <v>87</v>
      </c>
    </row>
    <row r="15" spans="1:3" x14ac:dyDescent="0.3">
      <c r="A15" s="15" t="s">
        <v>88</v>
      </c>
      <c r="B15" s="1">
        <v>3</v>
      </c>
      <c r="C15" s="16" t="s">
        <v>89</v>
      </c>
    </row>
    <row r="16" spans="1:3" x14ac:dyDescent="0.3">
      <c r="A16" s="15" t="s">
        <v>90</v>
      </c>
      <c r="B16" s="1">
        <v>3</v>
      </c>
      <c r="C16" s="16" t="s">
        <v>91</v>
      </c>
    </row>
    <row r="17" spans="1:3" x14ac:dyDescent="0.3">
      <c r="A17" s="15" t="s">
        <v>92</v>
      </c>
      <c r="B17" s="1">
        <v>2</v>
      </c>
      <c r="C17" s="16" t="s">
        <v>93</v>
      </c>
    </row>
    <row r="18" spans="1:3" x14ac:dyDescent="0.3">
      <c r="A18" s="15" t="s">
        <v>94</v>
      </c>
      <c r="B18" s="1">
        <v>2</v>
      </c>
      <c r="C18" s="16" t="s">
        <v>95</v>
      </c>
    </row>
    <row r="19" spans="1:3" x14ac:dyDescent="0.3">
      <c r="A19" s="15" t="s">
        <v>96</v>
      </c>
      <c r="B19" s="1">
        <v>2</v>
      </c>
      <c r="C19" s="16" t="s">
        <v>97</v>
      </c>
    </row>
    <row r="20" spans="1:3" x14ac:dyDescent="0.3">
      <c r="A20" s="15" t="s">
        <v>98</v>
      </c>
      <c r="B20" s="1">
        <v>2</v>
      </c>
      <c r="C20" s="16" t="s">
        <v>99</v>
      </c>
    </row>
    <row r="21" spans="1:3" x14ac:dyDescent="0.3">
      <c r="A21" s="17" t="s">
        <v>100</v>
      </c>
      <c r="B21" s="18">
        <v>2</v>
      </c>
      <c r="C21" s="19" t="s">
        <v>101</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3A4EC4-A069-4538-AB5A-AA8E0DF18E9E}">
  <dimension ref="A1:D45"/>
  <sheetViews>
    <sheetView showGridLines="0" workbookViewId="0">
      <pane ySplit="1" topLeftCell="A2" activePane="bottomLeft" state="frozen"/>
      <selection pane="bottomLeft" activeCell="B12" sqref="B12:D12"/>
    </sheetView>
  </sheetViews>
  <sheetFormatPr defaultColWidth="11.5546875" defaultRowHeight="14.4" x14ac:dyDescent="0.3"/>
  <cols>
    <col min="1" max="1" width="3" style="13" bestFit="1" customWidth="1"/>
    <col min="2" max="2" width="58.88671875" style="7" customWidth="1"/>
    <col min="3" max="3" width="11.88671875" style="7" bestFit="1" customWidth="1"/>
    <col min="4" max="4" width="116.109375" style="8" customWidth="1"/>
    <col min="5" max="16384" width="11.5546875" style="13"/>
  </cols>
  <sheetData>
    <row r="1" spans="1:4" x14ac:dyDescent="0.3">
      <c r="A1" s="31" t="s">
        <v>56</v>
      </c>
      <c r="B1" s="31" t="s">
        <v>0</v>
      </c>
      <c r="C1" s="31" t="s">
        <v>1</v>
      </c>
      <c r="D1" s="32" t="s">
        <v>191</v>
      </c>
    </row>
    <row r="2" spans="1:4" x14ac:dyDescent="0.3">
      <c r="A2" s="33">
        <v>1</v>
      </c>
      <c r="B2" s="33" t="str">
        <f>+VLOOKUP($A2,Attributes_by_Interview!$A:$C,2,0)</f>
        <v>accommodation type</v>
      </c>
      <c r="C2" s="33">
        <f>+VLOOKUP($A2,Attributes_by_Interview!$A:$C,3,0)</f>
        <v>9</v>
      </c>
      <c r="D2" s="34" t="s">
        <v>201</v>
      </c>
    </row>
    <row r="3" spans="1:4" ht="28.8" x14ac:dyDescent="0.3">
      <c r="A3" s="33">
        <f>+A2+1</f>
        <v>2</v>
      </c>
      <c r="B3" s="33" t="str">
        <f>+VLOOKUP($A3,Attributes_by_Interview!$A:$C,2,0)</f>
        <v>online recommendations</v>
      </c>
      <c r="C3" s="33">
        <f>+VLOOKUP($A3,Attributes_by_Interview!$A:$C,3,0)</f>
        <v>9</v>
      </c>
      <c r="D3" s="34" t="s">
        <v>202</v>
      </c>
    </row>
    <row r="4" spans="1:4" x14ac:dyDescent="0.3">
      <c r="A4" s="33">
        <f t="shared" ref="A4:A45" si="0">+A3+1</f>
        <v>3</v>
      </c>
      <c r="B4" s="33" t="str">
        <f>+VLOOKUP($A4,Attributes_by_Interview!$A:$C,2,0)</f>
        <v>proximity to other destinations</v>
      </c>
      <c r="C4" s="33">
        <f>+VLOOKUP($A4,Attributes_by_Interview!$A:$C,3,0)</f>
        <v>9</v>
      </c>
      <c r="D4" s="34" t="s">
        <v>199</v>
      </c>
    </row>
    <row r="5" spans="1:4" x14ac:dyDescent="0.3">
      <c r="A5" s="33">
        <f t="shared" si="0"/>
        <v>4</v>
      </c>
      <c r="B5" s="33" t="str">
        <f>+VLOOKUP($A5,Attributes_by_Interview!$A:$C,2,0)</f>
        <v>local cuisine</v>
      </c>
      <c r="C5" s="33">
        <f>+VLOOKUP($A5,Attributes_by_Interview!$A:$C,3,0)</f>
        <v>8</v>
      </c>
      <c r="D5" s="34" t="s">
        <v>203</v>
      </c>
    </row>
    <row r="6" spans="1:4" x14ac:dyDescent="0.3">
      <c r="A6" s="33">
        <f t="shared" si="0"/>
        <v>5</v>
      </c>
      <c r="B6" s="33" t="str">
        <f>+VLOOKUP($A6,Attributes_by_Interview!$A:$C,2,0)</f>
        <v>accessibility to touristic points</v>
      </c>
      <c r="C6" s="33">
        <f>+VLOOKUP($A6,Attributes_by_Interview!$A:$C,3,0)</f>
        <v>7</v>
      </c>
      <c r="D6" s="34" t="s">
        <v>193</v>
      </c>
    </row>
    <row r="7" spans="1:4" x14ac:dyDescent="0.3">
      <c r="A7" s="33">
        <f t="shared" si="0"/>
        <v>6</v>
      </c>
      <c r="B7" s="33" t="str">
        <f>+VLOOKUP($A7,Attributes_by_Interview!$A:$C,2,0)</f>
        <v>cost to reach</v>
      </c>
      <c r="C7" s="33">
        <f>+VLOOKUP($A7,Attributes_by_Interview!$A:$C,3,0)</f>
        <v>7</v>
      </c>
      <c r="D7" s="34" t="s">
        <v>194</v>
      </c>
    </row>
    <row r="8" spans="1:4" x14ac:dyDescent="0.3">
      <c r="A8" s="33">
        <f t="shared" si="0"/>
        <v>7</v>
      </c>
      <c r="B8" s="33" t="str">
        <f>+VLOOKUP($A8,Attributes_by_Interview!$A:$C,2,0)</f>
        <v>accommodation price</v>
      </c>
      <c r="C8" s="33">
        <f>+VLOOKUP($A8,Attributes_by_Interview!$A:$C,3,0)</f>
        <v>6</v>
      </c>
      <c r="D8" s="34" t="s">
        <v>192</v>
      </c>
    </row>
    <row r="9" spans="1:4" x14ac:dyDescent="0.3">
      <c r="A9" s="33">
        <f t="shared" si="0"/>
        <v>8</v>
      </c>
      <c r="B9" s="33" t="str">
        <f>+VLOOKUP($A9,Attributes_by_Interview!$A:$C,2,0)</f>
        <v>distance to reach</v>
      </c>
      <c r="C9" s="33">
        <f>+VLOOKUP($A9,Attributes_by_Interview!$A:$C,3,0)</f>
        <v>6</v>
      </c>
      <c r="D9" s="34" t="s">
        <v>204</v>
      </c>
    </row>
    <row r="10" spans="1:4" x14ac:dyDescent="0.3">
      <c r="A10" s="33">
        <f t="shared" si="0"/>
        <v>9</v>
      </c>
      <c r="B10" s="33" t="str">
        <f>+VLOOKUP($A10,Attributes_by_Interview!$A:$C,2,0)</f>
        <v>historical buildings</v>
      </c>
      <c r="C10" s="33">
        <f>+VLOOKUP($A10,Attributes_by_Interview!$A:$C,3,0)</f>
        <v>6</v>
      </c>
      <c r="D10" s="34" t="s">
        <v>195</v>
      </c>
    </row>
    <row r="11" spans="1:4" x14ac:dyDescent="0.3">
      <c r="A11" s="33">
        <f t="shared" si="0"/>
        <v>10</v>
      </c>
      <c r="B11" s="33" t="str">
        <f>+VLOOKUP($A11,Attributes_by_Interview!$A:$C,2,0)</f>
        <v>local events</v>
      </c>
      <c r="C11" s="33">
        <f>+VLOOKUP($A11,Attributes_by_Interview!$A:$C,3,0)</f>
        <v>6</v>
      </c>
      <c r="D11" s="34" t="s">
        <v>186</v>
      </c>
    </row>
    <row r="12" spans="1:4" x14ac:dyDescent="0.3">
      <c r="A12" s="33">
        <f t="shared" si="0"/>
        <v>11</v>
      </c>
      <c r="B12" s="33" t="str">
        <f>+VLOOKUP($A12,Attributes_by_Interview!$A:$C,2,0)</f>
        <v>accommodation services</v>
      </c>
      <c r="C12" s="33">
        <f>+VLOOKUP($A12,Attributes_by_Interview!$A:$C,3,0)</f>
        <v>5</v>
      </c>
      <c r="D12" s="34" t="s">
        <v>192</v>
      </c>
    </row>
    <row r="13" spans="1:4" x14ac:dyDescent="0.3">
      <c r="A13" s="33">
        <f t="shared" si="0"/>
        <v>12</v>
      </c>
      <c r="B13" s="33" t="str">
        <f>+VLOOKUP($A13,Attributes_by_Interview!$A:$C,2,0)</f>
        <v>availability of transport to destination</v>
      </c>
      <c r="C13" s="33">
        <f>+VLOOKUP($A13,Attributes_by_Interview!$A:$C,3,0)</f>
        <v>5</v>
      </c>
      <c r="D13" s="34" t="s">
        <v>205</v>
      </c>
    </row>
    <row r="14" spans="1:4" x14ac:dyDescent="0.3">
      <c r="A14" s="33">
        <f t="shared" si="0"/>
        <v>13</v>
      </c>
      <c r="B14" s="33" t="str">
        <f>+VLOOKUP($A14,Attributes_by_Interview!$A:$C,2,0)</f>
        <v>cultural immersion</v>
      </c>
      <c r="C14" s="33">
        <f>+VLOOKUP($A14,Attributes_by_Interview!$A:$C,3,0)</f>
        <v>5</v>
      </c>
      <c r="D14" s="34" t="s">
        <v>206</v>
      </c>
    </row>
    <row r="15" spans="1:4" x14ac:dyDescent="0.3">
      <c r="A15" s="33">
        <f t="shared" si="0"/>
        <v>14</v>
      </c>
      <c r="B15" s="33" t="str">
        <f>+VLOOKUP($A15,Attributes_by_Interview!$A:$C,2,0)</f>
        <v>food’s price</v>
      </c>
      <c r="C15" s="33">
        <f>+VLOOKUP($A15,Attributes_by_Interview!$A:$C,3,0)</f>
        <v>5</v>
      </c>
      <c r="D15" s="34" t="s">
        <v>200</v>
      </c>
    </row>
    <row r="16" spans="1:4" x14ac:dyDescent="0.3">
      <c r="A16" s="33">
        <f t="shared" si="0"/>
        <v>15</v>
      </c>
      <c r="B16" s="33" t="str">
        <f>+VLOOKUP($A16,Attributes_by_Interview!$A:$C,2,0)</f>
        <v>proximity to popular cities</v>
      </c>
      <c r="C16" s="33">
        <f>+VLOOKUP($A16,Attributes_by_Interview!$A:$C,3,0)</f>
        <v>5</v>
      </c>
      <c r="D16" s="34" t="s">
        <v>199</v>
      </c>
    </row>
    <row r="17" spans="1:4" x14ac:dyDescent="0.3">
      <c r="A17" s="33">
        <f t="shared" si="0"/>
        <v>16</v>
      </c>
      <c r="B17" s="33" t="str">
        <f>+VLOOKUP($A17,Attributes_by_Interview!$A:$C,2,0)</f>
        <v>accommodation location</v>
      </c>
      <c r="C17" s="33">
        <f>+VLOOKUP($A17,Attributes_by_Interview!$A:$C,3,0)</f>
        <v>4</v>
      </c>
      <c r="D17" s="34" t="s">
        <v>207</v>
      </c>
    </row>
    <row r="18" spans="1:4" x14ac:dyDescent="0.3">
      <c r="A18" s="33">
        <f t="shared" si="0"/>
        <v>17</v>
      </c>
      <c r="B18" s="33" t="str">
        <f>+VLOOKUP($A18,Attributes_by_Interview!$A:$C,2,0)</f>
        <v>historical places</v>
      </c>
      <c r="C18" s="33">
        <f>+VLOOKUP($A18,Attributes_by_Interview!$A:$C,3,0)</f>
        <v>4</v>
      </c>
      <c r="D18" s="34" t="s">
        <v>208</v>
      </c>
    </row>
    <row r="19" spans="1:4" x14ac:dyDescent="0.3">
      <c r="A19" s="33">
        <f t="shared" si="0"/>
        <v>18</v>
      </c>
      <c r="B19" s="33" t="str">
        <f>+VLOOKUP($A19,Attributes_by_Interview!$A:$C,2,0)</f>
        <v>local prices</v>
      </c>
      <c r="C19" s="33">
        <f>+VLOOKUP($A19,Attributes_by_Interview!$A:$C,3,0)</f>
        <v>4</v>
      </c>
      <c r="D19" s="34" t="s">
        <v>209</v>
      </c>
    </row>
    <row r="20" spans="1:4" x14ac:dyDescent="0.3">
      <c r="A20" s="33">
        <f t="shared" si="0"/>
        <v>19</v>
      </c>
      <c r="B20" s="33" t="str">
        <f>+VLOOKUP($A20,Attributes_by_Interview!$A:$C,2,0)</f>
        <v>natural landscape</v>
      </c>
      <c r="C20" s="33">
        <f>+VLOOKUP($A20,Attributes_by_Interview!$A:$C,3,0)</f>
        <v>4</v>
      </c>
      <c r="D20" s="34" t="s">
        <v>197</v>
      </c>
    </row>
    <row r="21" spans="1:4" x14ac:dyDescent="0.3">
      <c r="A21" s="33">
        <f t="shared" si="0"/>
        <v>20</v>
      </c>
      <c r="B21" s="33" t="str">
        <f>+VLOOKUP($A21,Attributes_by_Interview!$A:$C,2,0)</f>
        <v>access to beaches</v>
      </c>
      <c r="C21" s="33">
        <f>+VLOOKUP($A21,Attributes_by_Interview!$A:$C,3,0)</f>
        <v>3</v>
      </c>
      <c r="D21" s="34" t="s">
        <v>197</v>
      </c>
    </row>
    <row r="22" spans="1:4" x14ac:dyDescent="0.3">
      <c r="A22" s="33">
        <f t="shared" si="0"/>
        <v>21</v>
      </c>
      <c r="B22" s="33" t="str">
        <f>+VLOOKUP($A22,Attributes_by_Interview!$A:$C,2,0)</f>
        <v>information availability online</v>
      </c>
      <c r="C22" s="33">
        <f>+VLOOKUP($A22,Attributes_by_Interview!$A:$C,3,0)</f>
        <v>3</v>
      </c>
      <c r="D22" s="34" t="s">
        <v>210</v>
      </c>
    </row>
    <row r="23" spans="1:4" x14ac:dyDescent="0.3">
      <c r="A23" s="33">
        <f t="shared" si="0"/>
        <v>22</v>
      </c>
      <c r="B23" s="33" t="str">
        <f>+VLOOKUP($A23,Attributes_by_Interview!$A:$C,2,0)</f>
        <v>museums</v>
      </c>
      <c r="C23" s="33">
        <f>+VLOOKUP($A23,Attributes_by_Interview!$A:$C,3,0)</f>
        <v>3</v>
      </c>
      <c r="D23" s="34" t="s">
        <v>196</v>
      </c>
    </row>
    <row r="24" spans="1:4" x14ac:dyDescent="0.3">
      <c r="A24" s="33">
        <f t="shared" si="0"/>
        <v>23</v>
      </c>
      <c r="B24" s="33" t="str">
        <f>+VLOOKUP($A24,Attributes_by_Interview!$A:$C,2,0)</f>
        <v>overcrowded</v>
      </c>
      <c r="C24" s="33">
        <f>+VLOOKUP($A24,Attributes_by_Interview!$A:$C,3,0)</f>
        <v>3</v>
      </c>
      <c r="D24" s="34" t="s">
        <v>211</v>
      </c>
    </row>
    <row r="25" spans="1:4" x14ac:dyDescent="0.3">
      <c r="A25" s="33">
        <f t="shared" si="0"/>
        <v>24</v>
      </c>
      <c r="B25" s="33" t="str">
        <f>+VLOOKUP($A25,Attributes_by_Interview!$A:$C,2,0)</f>
        <v>restaurants availability</v>
      </c>
      <c r="C25" s="33">
        <f>+VLOOKUP($A25,Attributes_by_Interview!$A:$C,3,0)</f>
        <v>3</v>
      </c>
      <c r="D25" s="34" t="s">
        <v>212</v>
      </c>
    </row>
    <row r="26" spans="1:4" x14ac:dyDescent="0.3">
      <c r="A26" s="33">
        <f t="shared" si="0"/>
        <v>25</v>
      </c>
      <c r="B26" s="33" t="str">
        <f>+VLOOKUP($A26,Attributes_by_Interview!$A:$C,2,0)</f>
        <v>accessible by public transport</v>
      </c>
      <c r="C26" s="33">
        <f>+VLOOKUP($A26,Attributes_by_Interview!$A:$C,3,0)</f>
        <v>2</v>
      </c>
      <c r="D26" s="34" t="s">
        <v>193</v>
      </c>
    </row>
    <row r="27" spans="1:4" x14ac:dyDescent="0.3">
      <c r="A27" s="33">
        <f t="shared" si="0"/>
        <v>26</v>
      </c>
      <c r="B27" s="33" t="str">
        <f>+VLOOKUP($A27,Attributes_by_Interview!$A:$C,2,0)</f>
        <v>accommodation quality</v>
      </c>
      <c r="C27" s="33">
        <f>+VLOOKUP($A27,Attributes_by_Interview!$A:$C,3,0)</f>
        <v>2</v>
      </c>
      <c r="D27" s="34" t="s">
        <v>192</v>
      </c>
    </row>
    <row r="28" spans="1:4" x14ac:dyDescent="0.3">
      <c r="A28" s="33">
        <f t="shared" si="0"/>
        <v>27</v>
      </c>
      <c r="B28" s="33" t="str">
        <f>+VLOOKUP($A28,Attributes_by_Interview!$A:$C,2,0)</f>
        <v>city’s accessibility</v>
      </c>
      <c r="C28" s="33">
        <f>+VLOOKUP($A28,Attributes_by_Interview!$A:$C,3,0)</f>
        <v>2</v>
      </c>
      <c r="D28" s="34" t="s">
        <v>193</v>
      </c>
    </row>
    <row r="29" spans="1:4" x14ac:dyDescent="0.3">
      <c r="A29" s="33">
        <f t="shared" si="0"/>
        <v>28</v>
      </c>
      <c r="B29" s="33" t="str">
        <f>+VLOOKUP($A29,Attributes_by_Interview!$A:$C,2,0)</f>
        <v>genuine online recommendations</v>
      </c>
      <c r="C29" s="33">
        <f>+VLOOKUP($A29,Attributes_by_Interview!$A:$C,3,0)</f>
        <v>2</v>
      </c>
      <c r="D29" s="34" t="s">
        <v>213</v>
      </c>
    </row>
    <row r="30" spans="1:4" x14ac:dyDescent="0.3">
      <c r="A30" s="33">
        <f t="shared" si="0"/>
        <v>29</v>
      </c>
      <c r="B30" s="33" t="str">
        <f>+VLOOKUP($A30,Attributes_by_Interview!$A:$C,2,0)</f>
        <v>hiking trails</v>
      </c>
      <c r="C30" s="33">
        <f>+VLOOKUP($A30,Attributes_by_Interview!$A:$C,3,0)</f>
        <v>2</v>
      </c>
      <c r="D30" s="34" t="s">
        <v>197</v>
      </c>
    </row>
    <row r="31" spans="1:4" x14ac:dyDescent="0.3">
      <c r="A31" s="33">
        <f t="shared" si="0"/>
        <v>30</v>
      </c>
      <c r="B31" s="33" t="str">
        <f>+VLOOKUP($A31,Attributes_by_Interview!$A:$C,2,0)</f>
        <v>local friendliness</v>
      </c>
      <c r="C31" s="33">
        <f>+VLOOKUP($A31,Attributes_by_Interview!$A:$C,3,0)</f>
        <v>2</v>
      </c>
      <c r="D31" s="34" t="s">
        <v>214</v>
      </c>
    </row>
    <row r="32" spans="1:4" x14ac:dyDescent="0.3">
      <c r="A32" s="33">
        <f t="shared" si="0"/>
        <v>31</v>
      </c>
      <c r="B32" s="33" t="str">
        <f>+VLOOKUP($A32,Attributes_by_Interview!$A:$C,2,0)</f>
        <v>popular city</v>
      </c>
      <c r="C32" s="33">
        <f>+VLOOKUP($A32,Attributes_by_Interview!$A:$C,3,0)</f>
        <v>2</v>
      </c>
      <c r="D32" s="34" t="s">
        <v>215</v>
      </c>
    </row>
    <row r="33" spans="1:4" x14ac:dyDescent="0.3">
      <c r="A33" s="33">
        <f t="shared" si="0"/>
        <v>32</v>
      </c>
      <c r="B33" s="33" t="str">
        <f>+VLOOKUP($A33,Attributes_by_Interview!$A:$C,2,0)</f>
        <v>variety of hours for transportation</v>
      </c>
      <c r="C33" s="33">
        <f>+VLOOKUP($A33,Attributes_by_Interview!$A:$C,3,0)</f>
        <v>2</v>
      </c>
      <c r="D33" s="34" t="s">
        <v>216</v>
      </c>
    </row>
    <row r="34" spans="1:4" x14ac:dyDescent="0.3">
      <c r="A34" s="33">
        <f t="shared" si="0"/>
        <v>33</v>
      </c>
      <c r="B34" s="33" t="str">
        <f>+VLOOKUP($A34,Attributes_by_Interview!$A:$C,2,0)</f>
        <v>access to mountains</v>
      </c>
      <c r="C34" s="33">
        <f>+VLOOKUP($A34,Attributes_by_Interview!$A:$C,3,0)</f>
        <v>1</v>
      </c>
      <c r="D34" s="34" t="s">
        <v>197</v>
      </c>
    </row>
    <row r="35" spans="1:4" x14ac:dyDescent="0.3">
      <c r="A35" s="33">
        <f t="shared" si="0"/>
        <v>34</v>
      </c>
      <c r="B35" s="33" t="str">
        <f>+VLOOKUP($A35,Attributes_by_Interview!$A:$C,2,0)</f>
        <v>attraction availability</v>
      </c>
      <c r="C35" s="33">
        <f>+VLOOKUP($A35,Attributes_by_Interview!$A:$C,3,0)</f>
        <v>1</v>
      </c>
      <c r="D35" s="34" t="s">
        <v>217</v>
      </c>
    </row>
    <row r="36" spans="1:4" x14ac:dyDescent="0.3">
      <c r="A36" s="33">
        <f t="shared" si="0"/>
        <v>35</v>
      </c>
      <c r="B36" s="33" t="str">
        <f>+VLOOKUP($A36,Attributes_by_Interview!$A:$C,2,0)</f>
        <v>availability of city tours</v>
      </c>
      <c r="C36" s="33">
        <f>+VLOOKUP($A36,Attributes_by_Interview!$A:$C,3,0)</f>
        <v>1</v>
      </c>
      <c r="D36" s="34" t="s">
        <v>198</v>
      </c>
    </row>
    <row r="37" spans="1:4" x14ac:dyDescent="0.3">
      <c r="A37" s="33">
        <f t="shared" si="0"/>
        <v>36</v>
      </c>
      <c r="B37" s="33" t="str">
        <f>+VLOOKUP($A37,Attributes_by_Interview!$A:$C,2,0)</f>
        <v>availability of travel agencies</v>
      </c>
      <c r="C37" s="33">
        <f>+VLOOKUP($A37,Attributes_by_Interview!$A:$C,3,0)</f>
        <v>1</v>
      </c>
      <c r="D37" s="34" t="s">
        <v>218</v>
      </c>
    </row>
    <row r="38" spans="1:4" x14ac:dyDescent="0.3">
      <c r="A38" s="33">
        <f t="shared" si="0"/>
        <v>37</v>
      </c>
      <c r="B38" s="33" t="str">
        <f>+VLOOKUP($A38,Attributes_by_Interview!$A:$C,2,0)</f>
        <v>car friendly</v>
      </c>
      <c r="C38" s="33">
        <f>+VLOOKUP($A38,Attributes_by_Interview!$A:$C,3,0)</f>
        <v>1</v>
      </c>
      <c r="D38" s="34" t="s">
        <v>193</v>
      </c>
    </row>
    <row r="39" spans="1:4" x14ac:dyDescent="0.3">
      <c r="A39" s="33">
        <f t="shared" si="0"/>
        <v>38</v>
      </c>
      <c r="B39" s="33" t="str">
        <f>+VLOOKUP($A39,Attributes_by_Interview!$A:$C,2,0)</f>
        <v>destination size</v>
      </c>
      <c r="C39" s="33">
        <f>+VLOOKUP($A39,Attributes_by_Interview!$A:$C,3,0)</f>
        <v>1</v>
      </c>
      <c r="D39" s="34" t="s">
        <v>219</v>
      </c>
    </row>
    <row r="40" spans="1:4" x14ac:dyDescent="0.3">
      <c r="A40" s="33">
        <f t="shared" si="0"/>
        <v>39</v>
      </c>
      <c r="B40" s="33" t="str">
        <f>+VLOOKUP($A40,Attributes_by_Interview!$A:$C,2,0)</f>
        <v>events price</v>
      </c>
      <c r="C40" s="33">
        <f>+VLOOKUP($A40,Attributes_by_Interview!$A:$C,3,0)</f>
        <v>1</v>
      </c>
      <c r="D40" s="34" t="s">
        <v>220</v>
      </c>
    </row>
    <row r="41" spans="1:4" x14ac:dyDescent="0.3">
      <c r="A41" s="33">
        <f t="shared" si="0"/>
        <v>40</v>
      </c>
      <c r="B41" s="33" t="str">
        <f>+VLOOKUP($A41,Attributes_by_Interview!$A:$C,2,0)</f>
        <v>local experience</v>
      </c>
      <c r="C41" s="33">
        <f>+VLOOKUP($A41,Attributes_by_Interview!$A:$C,3,0)</f>
        <v>1</v>
      </c>
      <c r="D41" s="34" t="s">
        <v>221</v>
      </c>
    </row>
    <row r="42" spans="1:4" x14ac:dyDescent="0.3">
      <c r="A42" s="33">
        <f t="shared" si="0"/>
        <v>41</v>
      </c>
      <c r="B42" s="33" t="str">
        <f>+VLOOKUP($A42,Attributes_by_Interview!$A:$C,2,0)</f>
        <v>local restaurants</v>
      </c>
      <c r="C42" s="33">
        <f>+VLOOKUP($A42,Attributes_by_Interview!$A:$C,3,0)</f>
        <v>1</v>
      </c>
      <c r="D42" s="34" t="s">
        <v>200</v>
      </c>
    </row>
    <row r="43" spans="1:4" x14ac:dyDescent="0.3">
      <c r="A43" s="33">
        <f t="shared" si="0"/>
        <v>42</v>
      </c>
      <c r="B43" s="33" t="str">
        <f>+VLOOKUP($A43,Attributes_by_Interview!$A:$C,2,0)</f>
        <v>music events</v>
      </c>
      <c r="C43" s="33">
        <f>+VLOOKUP($A43,Attributes_by_Interview!$A:$C,3,0)</f>
        <v>1</v>
      </c>
      <c r="D43" s="34" t="s">
        <v>186</v>
      </c>
    </row>
    <row r="44" spans="1:4" x14ac:dyDescent="0.3">
      <c r="A44" s="33">
        <f t="shared" si="0"/>
        <v>43</v>
      </c>
      <c r="B44" s="33" t="str">
        <f>+VLOOKUP($A44,Attributes_by_Interview!$A:$C,2,0)</f>
        <v>music events cost</v>
      </c>
      <c r="C44" s="33">
        <f>+VLOOKUP($A44,Attributes_by_Interview!$A:$C,3,0)</f>
        <v>1</v>
      </c>
      <c r="D44" s="34" t="s">
        <v>186</v>
      </c>
    </row>
    <row r="45" spans="1:4" x14ac:dyDescent="0.3">
      <c r="A45" s="35">
        <f t="shared" si="0"/>
        <v>44</v>
      </c>
      <c r="B45" s="35" t="str">
        <f>+VLOOKUP($A45,Attributes_by_Interview!$A:$C,2,0)</f>
        <v>supermarket availability</v>
      </c>
      <c r="C45" s="35">
        <f>+VLOOKUP($A45,Attributes_by_Interview!$A:$C,3,0)</f>
        <v>1</v>
      </c>
      <c r="D45" s="36"/>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4489E4-D186-42D3-A4E8-3A21A6E3345B}">
  <dimension ref="A1:M45"/>
  <sheetViews>
    <sheetView showGridLines="0" workbookViewId="0">
      <pane ySplit="1" topLeftCell="A2" activePane="bottomLeft" state="frozen"/>
      <selection pane="bottomLeft" activeCell="J9" sqref="J9"/>
    </sheetView>
  </sheetViews>
  <sheetFormatPr defaultColWidth="11.5546875" defaultRowHeight="14.4" x14ac:dyDescent="0.3"/>
  <cols>
    <col min="1" max="1" width="3" bestFit="1" customWidth="1"/>
    <col min="2" max="2" width="30.33203125" style="1" bestFit="1" customWidth="1"/>
    <col min="3" max="3" width="9.5546875" style="1" bestFit="1" customWidth="1"/>
    <col min="4" max="12" width="14.44140625" style="1" bestFit="1" customWidth="1"/>
    <col min="13" max="13" width="15.44140625" style="1" bestFit="1" customWidth="1"/>
  </cols>
  <sheetData>
    <row r="1" spans="1:13" x14ac:dyDescent="0.3">
      <c r="A1" s="2" t="s">
        <v>56</v>
      </c>
      <c r="B1" s="2" t="s">
        <v>0</v>
      </c>
      <c r="C1" s="2" t="s">
        <v>57</v>
      </c>
      <c r="D1" s="2" t="s">
        <v>46</v>
      </c>
      <c r="E1" s="2" t="s">
        <v>47</v>
      </c>
      <c r="F1" s="2" t="s">
        <v>48</v>
      </c>
      <c r="G1" s="2" t="s">
        <v>49</v>
      </c>
      <c r="H1" s="2" t="s">
        <v>50</v>
      </c>
      <c r="I1" s="2" t="s">
        <v>51</v>
      </c>
      <c r="J1" s="2" t="s">
        <v>52</v>
      </c>
      <c r="K1" s="2" t="s">
        <v>53</v>
      </c>
      <c r="L1" s="2" t="s">
        <v>54</v>
      </c>
      <c r="M1" s="2" t="s">
        <v>55</v>
      </c>
    </row>
    <row r="2" spans="1:13" x14ac:dyDescent="0.3">
      <c r="A2" s="3">
        <f>+IF(COUNTIF($C$1:C1,C2)&gt;0,RANK(C2,$C$2:$C$45,0)+COUNTIF($C$1:C1,C2),RANK(C2,$C$2:$C$45,0))</f>
        <v>20</v>
      </c>
      <c r="B2" s="3" t="s">
        <v>19</v>
      </c>
      <c r="C2" s="3">
        <f>+SUM(D2:M2)</f>
        <v>3</v>
      </c>
      <c r="D2" s="3">
        <v>0</v>
      </c>
      <c r="E2" s="3">
        <v>1</v>
      </c>
      <c r="F2" s="3">
        <v>1</v>
      </c>
      <c r="G2" s="3">
        <v>1</v>
      </c>
      <c r="H2" s="3">
        <v>0</v>
      </c>
      <c r="I2" s="3">
        <v>0</v>
      </c>
      <c r="J2" s="3">
        <v>0</v>
      </c>
      <c r="K2" s="3">
        <v>0</v>
      </c>
      <c r="L2" s="3">
        <v>0</v>
      </c>
      <c r="M2" s="3">
        <v>0</v>
      </c>
    </row>
    <row r="3" spans="1:13" x14ac:dyDescent="0.3">
      <c r="A3" s="3">
        <f>+IF(COUNTIF($C$1:C2,C3)&gt;0,RANK(C3,$C$2:$C$45,0)+COUNTIF($C$1:C2,C3),RANK(C3,$C$2:$C$45,0))</f>
        <v>33</v>
      </c>
      <c r="B3" s="3" t="s">
        <v>38</v>
      </c>
      <c r="C3" s="3">
        <f t="shared" ref="C3:C45" si="0">+SUM(D3:M3)</f>
        <v>1</v>
      </c>
      <c r="D3" s="3">
        <v>0</v>
      </c>
      <c r="E3" s="3">
        <v>0</v>
      </c>
      <c r="F3" s="3">
        <v>0</v>
      </c>
      <c r="G3" s="3">
        <v>1</v>
      </c>
      <c r="H3" s="3">
        <v>0</v>
      </c>
      <c r="I3" s="3">
        <v>0</v>
      </c>
      <c r="J3" s="3">
        <v>0</v>
      </c>
      <c r="K3" s="3">
        <v>0</v>
      </c>
      <c r="L3" s="3">
        <v>0</v>
      </c>
      <c r="M3" s="3">
        <v>0</v>
      </c>
    </row>
    <row r="4" spans="1:13" x14ac:dyDescent="0.3">
      <c r="A4" s="3">
        <f>+IF(COUNTIF($C$1:C3,C4)&gt;0,RANK(C4,$C$2:$C$45,0)+COUNTIF($C$1:C3,C4),RANK(C4,$C$2:$C$45,0))</f>
        <v>5</v>
      </c>
      <c r="B4" s="3" t="s">
        <v>4</v>
      </c>
      <c r="C4" s="3">
        <f t="shared" si="0"/>
        <v>7</v>
      </c>
      <c r="D4" s="3">
        <v>1</v>
      </c>
      <c r="E4" s="3">
        <v>1</v>
      </c>
      <c r="F4" s="3">
        <v>0</v>
      </c>
      <c r="G4" s="3">
        <v>1</v>
      </c>
      <c r="H4" s="3">
        <v>1</v>
      </c>
      <c r="I4" s="3">
        <v>0</v>
      </c>
      <c r="J4" s="3">
        <v>1</v>
      </c>
      <c r="K4" s="3">
        <v>0</v>
      </c>
      <c r="L4" s="3">
        <v>1</v>
      </c>
      <c r="M4" s="3">
        <v>1</v>
      </c>
    </row>
    <row r="5" spans="1:13" x14ac:dyDescent="0.3">
      <c r="A5" s="3">
        <f>+IF(COUNTIF($C$1:C4,C5)&gt;0,RANK(C5,$C$2:$C$45,0)+COUNTIF($C$1:C4,C5),RANK(C5,$C$2:$C$45,0))</f>
        <v>25</v>
      </c>
      <c r="B5" s="3" t="s">
        <v>29</v>
      </c>
      <c r="C5" s="3">
        <f t="shared" si="0"/>
        <v>2</v>
      </c>
      <c r="D5" s="3">
        <v>1</v>
      </c>
      <c r="E5" s="3">
        <v>0</v>
      </c>
      <c r="F5" s="3">
        <v>0</v>
      </c>
      <c r="G5" s="3">
        <v>0</v>
      </c>
      <c r="H5" s="3">
        <v>0</v>
      </c>
      <c r="I5" s="3">
        <v>0</v>
      </c>
      <c r="J5" s="3">
        <v>0</v>
      </c>
      <c r="K5" s="3">
        <v>1</v>
      </c>
      <c r="L5" s="3">
        <v>0</v>
      </c>
      <c r="M5" s="3">
        <v>0</v>
      </c>
    </row>
    <row r="6" spans="1:13" x14ac:dyDescent="0.3">
      <c r="A6" s="3">
        <f>+IF(COUNTIF($C$1:C5,C6)&gt;0,RANK(C6,$C$2:$C$45,0)+COUNTIF($C$1:C5,C6),RANK(C6,$C$2:$C$45,0))</f>
        <v>16</v>
      </c>
      <c r="B6" s="3" t="s">
        <v>24</v>
      </c>
      <c r="C6" s="3">
        <f t="shared" si="0"/>
        <v>4</v>
      </c>
      <c r="D6" s="3">
        <v>1</v>
      </c>
      <c r="E6" s="3">
        <v>1</v>
      </c>
      <c r="F6" s="3">
        <v>0</v>
      </c>
      <c r="G6" s="3">
        <v>0</v>
      </c>
      <c r="H6" s="3">
        <v>0</v>
      </c>
      <c r="I6" s="3">
        <v>0</v>
      </c>
      <c r="J6" s="3">
        <v>0</v>
      </c>
      <c r="K6" s="3">
        <v>0</v>
      </c>
      <c r="L6" s="3">
        <v>1</v>
      </c>
      <c r="M6" s="3">
        <v>1</v>
      </c>
    </row>
    <row r="7" spans="1:13" x14ac:dyDescent="0.3">
      <c r="A7" s="3">
        <f>+IF(COUNTIF($C$1:C6,C7)&gt;0,RANK(C7,$C$2:$C$45,0)+COUNTIF($C$1:C6,C7),RANK(C7,$C$2:$C$45,0))</f>
        <v>7</v>
      </c>
      <c r="B7" s="3" t="s">
        <v>8</v>
      </c>
      <c r="C7" s="3">
        <f t="shared" si="0"/>
        <v>6</v>
      </c>
      <c r="D7" s="3">
        <v>0</v>
      </c>
      <c r="E7" s="3">
        <v>0</v>
      </c>
      <c r="F7" s="3">
        <v>1</v>
      </c>
      <c r="G7" s="3">
        <v>1</v>
      </c>
      <c r="H7" s="3">
        <v>0</v>
      </c>
      <c r="I7" s="3">
        <v>1</v>
      </c>
      <c r="J7" s="3">
        <v>1</v>
      </c>
      <c r="K7" s="3">
        <v>1</v>
      </c>
      <c r="L7" s="3">
        <v>1</v>
      </c>
      <c r="M7" s="3">
        <v>0</v>
      </c>
    </row>
    <row r="8" spans="1:13" x14ac:dyDescent="0.3">
      <c r="A8" s="3">
        <f>+IF(COUNTIF($C$1:C7,C8)&gt;0,RANK(C8,$C$2:$C$45,0)+COUNTIF($C$1:C7,C8),RANK(C8,$C$2:$C$45,0))</f>
        <v>26</v>
      </c>
      <c r="B8" s="3" t="s">
        <v>26</v>
      </c>
      <c r="C8" s="3">
        <f t="shared" si="0"/>
        <v>2</v>
      </c>
      <c r="D8" s="3">
        <v>0</v>
      </c>
      <c r="E8" s="3">
        <v>0</v>
      </c>
      <c r="F8" s="3">
        <v>1</v>
      </c>
      <c r="G8" s="3">
        <v>0</v>
      </c>
      <c r="H8" s="3">
        <v>0</v>
      </c>
      <c r="I8" s="3">
        <v>0</v>
      </c>
      <c r="J8" s="3">
        <v>0</v>
      </c>
      <c r="K8" s="3">
        <v>1</v>
      </c>
      <c r="L8" s="3">
        <v>0</v>
      </c>
      <c r="M8" s="3">
        <v>0</v>
      </c>
    </row>
    <row r="9" spans="1:13" x14ac:dyDescent="0.3">
      <c r="A9" s="3">
        <f>+IF(COUNTIF($C$1:C8,C9)&gt;0,RANK(C9,$C$2:$C$45,0)+COUNTIF($C$1:C8,C9),RANK(C9,$C$2:$C$45,0))</f>
        <v>11</v>
      </c>
      <c r="B9" s="3" t="s">
        <v>11</v>
      </c>
      <c r="C9" s="3">
        <f t="shared" si="0"/>
        <v>5</v>
      </c>
      <c r="D9" s="3">
        <v>0</v>
      </c>
      <c r="E9" s="3">
        <v>1</v>
      </c>
      <c r="F9" s="3">
        <v>1</v>
      </c>
      <c r="G9" s="3">
        <v>0</v>
      </c>
      <c r="H9" s="3">
        <v>1</v>
      </c>
      <c r="I9" s="3">
        <v>0</v>
      </c>
      <c r="J9" s="3">
        <v>1</v>
      </c>
      <c r="K9" s="3">
        <v>0</v>
      </c>
      <c r="L9" s="3">
        <v>0</v>
      </c>
      <c r="M9" s="3">
        <v>1</v>
      </c>
    </row>
    <row r="10" spans="1:13" x14ac:dyDescent="0.3">
      <c r="A10" s="3">
        <f>+IF(COUNTIF($C$1:C9,C10)&gt;0,RANK(C10,$C$2:$C$45,0)+COUNTIF($C$1:C9,C10),RANK(C10,$C$2:$C$45,0))</f>
        <v>1</v>
      </c>
      <c r="B10" s="3" t="s">
        <v>3</v>
      </c>
      <c r="C10" s="3">
        <f t="shared" si="0"/>
        <v>9</v>
      </c>
      <c r="D10" s="3">
        <v>1</v>
      </c>
      <c r="E10" s="3">
        <v>1</v>
      </c>
      <c r="F10" s="3">
        <v>1</v>
      </c>
      <c r="G10" s="3">
        <v>1</v>
      </c>
      <c r="H10" s="3">
        <v>0</v>
      </c>
      <c r="I10" s="3">
        <v>1</v>
      </c>
      <c r="J10" s="3">
        <v>1</v>
      </c>
      <c r="K10" s="3">
        <v>1</v>
      </c>
      <c r="L10" s="3">
        <v>1</v>
      </c>
      <c r="M10" s="3">
        <v>1</v>
      </c>
    </row>
    <row r="11" spans="1:13" x14ac:dyDescent="0.3">
      <c r="A11" s="3">
        <f>+IF(COUNTIF($C$1:C10,C11)&gt;0,RANK(C11,$C$2:$C$45,0)+COUNTIF($C$1:C10,C11),RANK(C11,$C$2:$C$45,0))</f>
        <v>34</v>
      </c>
      <c r="B11" s="3" t="s">
        <v>44</v>
      </c>
      <c r="C11" s="3">
        <f t="shared" si="0"/>
        <v>1</v>
      </c>
      <c r="D11" s="3">
        <v>0</v>
      </c>
      <c r="E11" s="3">
        <v>0</v>
      </c>
      <c r="F11" s="3">
        <v>0</v>
      </c>
      <c r="G11" s="3">
        <v>0</v>
      </c>
      <c r="H11" s="3">
        <v>1</v>
      </c>
      <c r="I11" s="3">
        <v>0</v>
      </c>
      <c r="J11" s="3">
        <v>0</v>
      </c>
      <c r="K11" s="3">
        <v>0</v>
      </c>
      <c r="L11" s="3">
        <v>0</v>
      </c>
      <c r="M11" s="3">
        <v>0</v>
      </c>
    </row>
    <row r="12" spans="1:13" x14ac:dyDescent="0.3">
      <c r="A12" s="3">
        <f>+IF(COUNTIF($C$1:C11,C12)&gt;0,RANK(C12,$C$2:$C$45,0)+COUNTIF($C$1:C11,C12),RANK(C12,$C$2:$C$45,0))</f>
        <v>35</v>
      </c>
      <c r="B12" s="3" t="s">
        <v>34</v>
      </c>
      <c r="C12" s="3">
        <f t="shared" si="0"/>
        <v>1</v>
      </c>
      <c r="D12" s="3">
        <v>0</v>
      </c>
      <c r="E12" s="3">
        <v>0</v>
      </c>
      <c r="F12" s="3">
        <v>0</v>
      </c>
      <c r="G12" s="3">
        <v>0</v>
      </c>
      <c r="H12" s="3">
        <v>0</v>
      </c>
      <c r="I12" s="3">
        <v>0</v>
      </c>
      <c r="J12" s="3">
        <v>0</v>
      </c>
      <c r="K12" s="3">
        <v>0</v>
      </c>
      <c r="L12" s="3">
        <v>1</v>
      </c>
      <c r="M12" s="3">
        <v>0</v>
      </c>
    </row>
    <row r="13" spans="1:13" x14ac:dyDescent="0.3">
      <c r="A13" s="3">
        <f>+IF(COUNTIF($C$1:C12,C13)&gt;0,RANK(C13,$C$2:$C$45,0)+COUNTIF($C$1:C12,C13),RANK(C13,$C$2:$C$45,0))</f>
        <v>12</v>
      </c>
      <c r="B13" s="3" t="s">
        <v>12</v>
      </c>
      <c r="C13" s="3">
        <f t="shared" si="0"/>
        <v>5</v>
      </c>
      <c r="D13" s="3">
        <v>0</v>
      </c>
      <c r="E13" s="3">
        <v>0</v>
      </c>
      <c r="F13" s="3">
        <v>0</v>
      </c>
      <c r="G13" s="3">
        <v>0</v>
      </c>
      <c r="H13" s="3">
        <v>1</v>
      </c>
      <c r="I13" s="3">
        <v>1</v>
      </c>
      <c r="J13" s="3">
        <v>1</v>
      </c>
      <c r="K13" s="3">
        <v>0</v>
      </c>
      <c r="L13" s="3">
        <v>1</v>
      </c>
      <c r="M13" s="3">
        <v>1</v>
      </c>
    </row>
    <row r="14" spans="1:13" x14ac:dyDescent="0.3">
      <c r="A14" s="3">
        <f>+IF(COUNTIF($C$1:C13,C14)&gt;0,RANK(C14,$C$2:$C$45,0)+COUNTIF($C$1:C13,C14),RANK(C14,$C$2:$C$45,0))</f>
        <v>36</v>
      </c>
      <c r="B14" s="3" t="s">
        <v>43</v>
      </c>
      <c r="C14" s="3">
        <f t="shared" si="0"/>
        <v>1</v>
      </c>
      <c r="D14" s="3">
        <v>0</v>
      </c>
      <c r="E14" s="3">
        <v>0</v>
      </c>
      <c r="F14" s="3">
        <v>1</v>
      </c>
      <c r="G14" s="3">
        <v>0</v>
      </c>
      <c r="H14" s="3">
        <v>0</v>
      </c>
      <c r="I14" s="3">
        <v>0</v>
      </c>
      <c r="J14" s="3">
        <v>0</v>
      </c>
      <c r="K14" s="3">
        <v>0</v>
      </c>
      <c r="L14" s="3">
        <v>0</v>
      </c>
      <c r="M14" s="3">
        <v>0</v>
      </c>
    </row>
    <row r="15" spans="1:13" x14ac:dyDescent="0.3">
      <c r="A15" s="3">
        <f>+IF(COUNTIF($C$1:C14,C15)&gt;0,RANK(C15,$C$2:$C$45,0)+COUNTIF($C$1:C14,C15),RANK(C15,$C$2:$C$45,0))</f>
        <v>37</v>
      </c>
      <c r="B15" s="3" t="s">
        <v>42</v>
      </c>
      <c r="C15" s="3">
        <f t="shared" si="0"/>
        <v>1</v>
      </c>
      <c r="D15" s="3">
        <v>0</v>
      </c>
      <c r="E15" s="3">
        <v>0</v>
      </c>
      <c r="F15" s="3">
        <v>1</v>
      </c>
      <c r="G15" s="3">
        <v>0</v>
      </c>
      <c r="H15" s="3">
        <v>0</v>
      </c>
      <c r="I15" s="3">
        <v>0</v>
      </c>
      <c r="J15" s="3">
        <v>0</v>
      </c>
      <c r="K15" s="3">
        <v>0</v>
      </c>
      <c r="L15" s="3">
        <v>0</v>
      </c>
      <c r="M15" s="3">
        <v>0</v>
      </c>
    </row>
    <row r="16" spans="1:13" x14ac:dyDescent="0.3">
      <c r="A16" s="3">
        <f>+IF(COUNTIF($C$1:C15,C16)&gt;0,RANK(C16,$C$2:$C$45,0)+COUNTIF($C$1:C15,C16),RANK(C16,$C$2:$C$45,0))</f>
        <v>27</v>
      </c>
      <c r="B16" s="3" t="s">
        <v>23</v>
      </c>
      <c r="C16" s="3">
        <f t="shared" si="0"/>
        <v>2</v>
      </c>
      <c r="D16" s="3">
        <v>0</v>
      </c>
      <c r="E16" s="3">
        <v>0</v>
      </c>
      <c r="F16" s="3">
        <v>0</v>
      </c>
      <c r="G16" s="3">
        <v>0</v>
      </c>
      <c r="H16" s="3">
        <v>0</v>
      </c>
      <c r="I16" s="3">
        <v>0</v>
      </c>
      <c r="J16" s="3">
        <v>1</v>
      </c>
      <c r="K16" s="3">
        <v>0</v>
      </c>
      <c r="L16" s="3">
        <v>1</v>
      </c>
      <c r="M16" s="3">
        <v>0</v>
      </c>
    </row>
    <row r="17" spans="1:13" x14ac:dyDescent="0.3">
      <c r="A17" s="3">
        <f>+IF(COUNTIF($C$1:C16,C17)&gt;0,RANK(C17,$C$2:$C$45,0)+COUNTIF($C$1:C16,C17),RANK(C17,$C$2:$C$45,0))</f>
        <v>6</v>
      </c>
      <c r="B17" s="3" t="s">
        <v>5</v>
      </c>
      <c r="C17" s="3">
        <f t="shared" si="0"/>
        <v>7</v>
      </c>
      <c r="D17" s="3">
        <v>1</v>
      </c>
      <c r="E17" s="3">
        <v>0</v>
      </c>
      <c r="F17" s="3">
        <v>1</v>
      </c>
      <c r="G17" s="3">
        <v>1</v>
      </c>
      <c r="H17" s="3">
        <v>1</v>
      </c>
      <c r="I17" s="3">
        <v>1</v>
      </c>
      <c r="J17" s="3">
        <v>1</v>
      </c>
      <c r="K17" s="3">
        <v>0</v>
      </c>
      <c r="L17" s="3">
        <v>0</v>
      </c>
      <c r="M17" s="3">
        <v>1</v>
      </c>
    </row>
    <row r="18" spans="1:13" x14ac:dyDescent="0.3">
      <c r="A18" s="3">
        <f>+IF(COUNTIF($C$1:C17,C18)&gt;0,RANK(C18,$C$2:$C$45,0)+COUNTIF($C$1:C17,C18),RANK(C18,$C$2:$C$45,0))</f>
        <v>13</v>
      </c>
      <c r="B18" s="3" t="s">
        <v>13</v>
      </c>
      <c r="C18" s="3">
        <f t="shared" si="0"/>
        <v>5</v>
      </c>
      <c r="D18" s="3">
        <v>1</v>
      </c>
      <c r="E18" s="3">
        <v>1</v>
      </c>
      <c r="F18" s="3">
        <v>1</v>
      </c>
      <c r="G18" s="3">
        <v>0</v>
      </c>
      <c r="H18" s="3">
        <v>0</v>
      </c>
      <c r="I18" s="3">
        <v>0</v>
      </c>
      <c r="J18" s="3">
        <v>0</v>
      </c>
      <c r="K18" s="3">
        <v>1</v>
      </c>
      <c r="L18" s="3">
        <v>0</v>
      </c>
      <c r="M18" s="3">
        <v>1</v>
      </c>
    </row>
    <row r="19" spans="1:13" x14ac:dyDescent="0.3">
      <c r="A19" s="3">
        <f>+IF(COUNTIF($C$1:C18,C19)&gt;0,RANK(C19,$C$2:$C$45,0)+COUNTIF($C$1:C18,C19),RANK(C19,$C$2:$C$45,0))</f>
        <v>38</v>
      </c>
      <c r="B19" s="3" t="s">
        <v>35</v>
      </c>
      <c r="C19" s="3">
        <f t="shared" si="0"/>
        <v>1</v>
      </c>
      <c r="D19" s="3">
        <v>1</v>
      </c>
      <c r="E19" s="3">
        <v>0</v>
      </c>
      <c r="F19" s="3">
        <v>0</v>
      </c>
      <c r="G19" s="3">
        <v>0</v>
      </c>
      <c r="H19" s="3">
        <v>0</v>
      </c>
      <c r="I19" s="3">
        <v>0</v>
      </c>
      <c r="J19" s="3">
        <v>0</v>
      </c>
      <c r="K19" s="3">
        <v>0</v>
      </c>
      <c r="L19" s="3">
        <v>0</v>
      </c>
      <c r="M19" s="3">
        <v>0</v>
      </c>
    </row>
    <row r="20" spans="1:13" x14ac:dyDescent="0.3">
      <c r="A20" s="3">
        <f>+IF(COUNTIF($C$1:C19,C20)&gt;0,RANK(C20,$C$2:$C$45,0)+COUNTIF($C$1:C19,C20),RANK(C20,$C$2:$C$45,0))</f>
        <v>8</v>
      </c>
      <c r="B20" s="3" t="s">
        <v>7</v>
      </c>
      <c r="C20" s="3">
        <f t="shared" si="0"/>
        <v>6</v>
      </c>
      <c r="D20" s="3">
        <v>1</v>
      </c>
      <c r="E20" s="3">
        <v>0</v>
      </c>
      <c r="F20" s="3">
        <v>1</v>
      </c>
      <c r="G20" s="3">
        <v>1</v>
      </c>
      <c r="H20" s="3">
        <v>0</v>
      </c>
      <c r="I20" s="3">
        <v>1</v>
      </c>
      <c r="J20" s="3">
        <v>1</v>
      </c>
      <c r="K20" s="3">
        <v>0</v>
      </c>
      <c r="L20" s="3">
        <v>1</v>
      </c>
      <c r="M20" s="3">
        <v>0</v>
      </c>
    </row>
    <row r="21" spans="1:13" x14ac:dyDescent="0.3">
      <c r="A21" s="3">
        <f>+IF(COUNTIF($C$1:C20,C21)&gt;0,RANK(C21,$C$2:$C$45,0)+COUNTIF($C$1:C20,C21),RANK(C21,$C$2:$C$45,0))</f>
        <v>39</v>
      </c>
      <c r="B21" s="3" t="s">
        <v>39</v>
      </c>
      <c r="C21" s="3">
        <f t="shared" si="0"/>
        <v>1</v>
      </c>
      <c r="D21" s="3">
        <v>0</v>
      </c>
      <c r="E21" s="3">
        <v>0</v>
      </c>
      <c r="F21" s="3">
        <v>0</v>
      </c>
      <c r="G21" s="3">
        <v>0</v>
      </c>
      <c r="H21" s="3">
        <v>0</v>
      </c>
      <c r="I21" s="3">
        <v>0</v>
      </c>
      <c r="J21" s="3">
        <v>1</v>
      </c>
      <c r="K21" s="3">
        <v>0</v>
      </c>
      <c r="L21" s="3">
        <v>0</v>
      </c>
      <c r="M21" s="3">
        <v>0</v>
      </c>
    </row>
    <row r="22" spans="1:13" x14ac:dyDescent="0.3">
      <c r="A22" s="3">
        <f>+IF(COUNTIF($C$1:C21,C22)&gt;0,RANK(C22,$C$2:$C$45,0)+COUNTIF($C$1:C21,C22),RANK(C22,$C$2:$C$45,0))</f>
        <v>14</v>
      </c>
      <c r="B22" s="3" t="s">
        <v>28</v>
      </c>
      <c r="C22" s="3">
        <f t="shared" si="0"/>
        <v>5</v>
      </c>
      <c r="D22" s="3">
        <v>1</v>
      </c>
      <c r="E22" s="3">
        <v>0</v>
      </c>
      <c r="F22" s="3">
        <v>0</v>
      </c>
      <c r="G22" s="3">
        <v>0</v>
      </c>
      <c r="H22" s="3">
        <v>0</v>
      </c>
      <c r="I22" s="3">
        <v>1</v>
      </c>
      <c r="J22" s="3">
        <v>1</v>
      </c>
      <c r="K22" s="3">
        <v>1</v>
      </c>
      <c r="L22" s="3">
        <v>0</v>
      </c>
      <c r="M22" s="3">
        <v>1</v>
      </c>
    </row>
    <row r="23" spans="1:13" x14ac:dyDescent="0.3">
      <c r="A23" s="3">
        <f>+IF(COUNTIF($C$1:C22,C23)&gt;0,RANK(C23,$C$2:$C$45,0)+COUNTIF($C$1:C22,C23),RANK(C23,$C$2:$C$45,0))</f>
        <v>28</v>
      </c>
      <c r="B23" s="3" t="s">
        <v>27</v>
      </c>
      <c r="C23" s="3">
        <f t="shared" si="0"/>
        <v>2</v>
      </c>
      <c r="D23" s="3">
        <v>1</v>
      </c>
      <c r="E23" s="3">
        <v>0</v>
      </c>
      <c r="F23" s="3">
        <v>0</v>
      </c>
      <c r="G23" s="3">
        <v>0</v>
      </c>
      <c r="H23" s="3">
        <v>0</v>
      </c>
      <c r="I23" s="3">
        <v>0</v>
      </c>
      <c r="J23" s="3">
        <v>0</v>
      </c>
      <c r="K23" s="3">
        <v>0</v>
      </c>
      <c r="L23" s="3">
        <v>1</v>
      </c>
      <c r="M23" s="3">
        <v>0</v>
      </c>
    </row>
    <row r="24" spans="1:13" x14ac:dyDescent="0.3">
      <c r="A24" s="3">
        <f>+IF(COUNTIF($C$1:C23,C24)&gt;0,RANK(C24,$C$2:$C$45,0)+COUNTIF($C$1:C23,C24),RANK(C24,$C$2:$C$45,0))</f>
        <v>29</v>
      </c>
      <c r="B24" s="3" t="s">
        <v>31</v>
      </c>
      <c r="C24" s="3">
        <f t="shared" si="0"/>
        <v>2</v>
      </c>
      <c r="D24" s="3">
        <v>1</v>
      </c>
      <c r="E24" s="3">
        <v>0</v>
      </c>
      <c r="F24" s="3">
        <v>0</v>
      </c>
      <c r="G24" s="3">
        <v>1</v>
      </c>
      <c r="H24" s="3">
        <v>0</v>
      </c>
      <c r="I24" s="3">
        <v>0</v>
      </c>
      <c r="J24" s="3">
        <v>0</v>
      </c>
      <c r="K24" s="3">
        <v>0</v>
      </c>
      <c r="L24" s="3">
        <v>0</v>
      </c>
      <c r="M24" s="3">
        <v>0</v>
      </c>
    </row>
    <row r="25" spans="1:13" x14ac:dyDescent="0.3">
      <c r="A25" s="3">
        <f>+IF(COUNTIF($C$1:C24,C25)&gt;0,RANK(C25,$C$2:$C$45,0)+COUNTIF($C$1:C24,C25),RANK(C25,$C$2:$C$45,0))</f>
        <v>9</v>
      </c>
      <c r="B25" s="3" t="s">
        <v>33</v>
      </c>
      <c r="C25" s="3">
        <f t="shared" si="0"/>
        <v>6</v>
      </c>
      <c r="D25" s="3">
        <v>1</v>
      </c>
      <c r="E25" s="3">
        <v>1</v>
      </c>
      <c r="F25" s="3">
        <v>0</v>
      </c>
      <c r="G25" s="3">
        <v>0</v>
      </c>
      <c r="H25" s="3">
        <v>1</v>
      </c>
      <c r="I25" s="3">
        <v>1</v>
      </c>
      <c r="J25" s="3">
        <v>1</v>
      </c>
      <c r="K25" s="3">
        <v>0</v>
      </c>
      <c r="L25" s="3">
        <v>0</v>
      </c>
      <c r="M25" s="3">
        <v>1</v>
      </c>
    </row>
    <row r="26" spans="1:13" x14ac:dyDescent="0.3">
      <c r="A26" s="3">
        <f>+IF(COUNTIF($C$1:C25,C26)&gt;0,RANK(C26,$C$2:$C$45,0)+COUNTIF($C$1:C25,C26),RANK(C26,$C$2:$C$45,0))</f>
        <v>17</v>
      </c>
      <c r="B26" s="3" t="s">
        <v>25</v>
      </c>
      <c r="C26" s="3">
        <f t="shared" si="0"/>
        <v>4</v>
      </c>
      <c r="D26" s="3">
        <v>0</v>
      </c>
      <c r="E26" s="3">
        <v>0</v>
      </c>
      <c r="F26" s="3">
        <v>0</v>
      </c>
      <c r="G26" s="3">
        <v>0</v>
      </c>
      <c r="H26" s="3">
        <v>0</v>
      </c>
      <c r="I26" s="3">
        <v>1</v>
      </c>
      <c r="J26" s="3">
        <v>1</v>
      </c>
      <c r="K26" s="3">
        <v>0</v>
      </c>
      <c r="L26" s="3">
        <v>1</v>
      </c>
      <c r="M26" s="3">
        <v>1</v>
      </c>
    </row>
    <row r="27" spans="1:13" x14ac:dyDescent="0.3">
      <c r="A27" s="3">
        <f>+IF(COUNTIF($C$1:C26,C27)&gt;0,RANK(C27,$C$2:$C$45,0)+COUNTIF($C$1:C26,C27),RANK(C27,$C$2:$C$45,0))</f>
        <v>21</v>
      </c>
      <c r="B27" s="3" t="s">
        <v>30</v>
      </c>
      <c r="C27" s="3">
        <f t="shared" si="0"/>
        <v>3</v>
      </c>
      <c r="D27" s="3">
        <v>1</v>
      </c>
      <c r="E27" s="3">
        <v>1</v>
      </c>
      <c r="F27" s="3">
        <v>0</v>
      </c>
      <c r="G27" s="3">
        <v>0</v>
      </c>
      <c r="H27" s="3">
        <v>0</v>
      </c>
      <c r="I27" s="3">
        <v>0</v>
      </c>
      <c r="J27" s="3">
        <v>0</v>
      </c>
      <c r="K27" s="3">
        <v>0</v>
      </c>
      <c r="L27" s="3">
        <v>1</v>
      </c>
      <c r="M27" s="3">
        <v>0</v>
      </c>
    </row>
    <row r="28" spans="1:13" x14ac:dyDescent="0.3">
      <c r="A28" s="3">
        <f>+IF(COUNTIF($C$1:C27,C28)&gt;0,RANK(C28,$C$2:$C$45,0)+COUNTIF($C$1:C27,C28),RANK(C28,$C$2:$C$45,0))</f>
        <v>4</v>
      </c>
      <c r="B28" s="3" t="s">
        <v>9</v>
      </c>
      <c r="C28" s="3">
        <f t="shared" si="0"/>
        <v>8</v>
      </c>
      <c r="D28" s="3">
        <v>1</v>
      </c>
      <c r="E28" s="3">
        <v>1</v>
      </c>
      <c r="F28" s="3">
        <v>1</v>
      </c>
      <c r="G28" s="3">
        <v>0</v>
      </c>
      <c r="H28" s="3">
        <v>1</v>
      </c>
      <c r="I28" s="3">
        <v>0</v>
      </c>
      <c r="J28" s="3">
        <v>1</v>
      </c>
      <c r="K28" s="3">
        <v>1</v>
      </c>
      <c r="L28" s="3">
        <v>1</v>
      </c>
      <c r="M28" s="3">
        <v>1</v>
      </c>
    </row>
    <row r="29" spans="1:13" x14ac:dyDescent="0.3">
      <c r="A29" s="3">
        <f>+IF(COUNTIF($C$1:C28,C29)&gt;0,RANK(C29,$C$2:$C$45,0)+COUNTIF($C$1:C28,C29),RANK(C29,$C$2:$C$45,0))</f>
        <v>10</v>
      </c>
      <c r="B29" s="3" t="s">
        <v>6</v>
      </c>
      <c r="C29" s="3">
        <f t="shared" si="0"/>
        <v>6</v>
      </c>
      <c r="D29" s="3">
        <v>1</v>
      </c>
      <c r="E29" s="3">
        <v>0</v>
      </c>
      <c r="F29" s="3">
        <v>1</v>
      </c>
      <c r="G29" s="3">
        <v>1</v>
      </c>
      <c r="H29" s="3">
        <v>1</v>
      </c>
      <c r="I29" s="3">
        <v>0</v>
      </c>
      <c r="J29" s="3">
        <v>1</v>
      </c>
      <c r="K29" s="3">
        <v>1</v>
      </c>
      <c r="L29" s="3">
        <v>0</v>
      </c>
      <c r="M29" s="3">
        <v>0</v>
      </c>
    </row>
    <row r="30" spans="1:13" x14ac:dyDescent="0.3">
      <c r="A30" s="3">
        <f>+IF(COUNTIF($C$1:C29,C30)&gt;0,RANK(C30,$C$2:$C$45,0)+COUNTIF($C$1:C29,C30),RANK(C30,$C$2:$C$45,0))</f>
        <v>40</v>
      </c>
      <c r="B30" s="3" t="s">
        <v>41</v>
      </c>
      <c r="C30" s="3">
        <f t="shared" si="0"/>
        <v>1</v>
      </c>
      <c r="D30" s="3">
        <v>0</v>
      </c>
      <c r="E30" s="3">
        <v>1</v>
      </c>
      <c r="F30" s="3">
        <v>0</v>
      </c>
      <c r="G30" s="3">
        <v>0</v>
      </c>
      <c r="H30" s="3">
        <v>0</v>
      </c>
      <c r="I30" s="3">
        <v>0</v>
      </c>
      <c r="J30" s="3">
        <v>0</v>
      </c>
      <c r="K30" s="3">
        <v>0</v>
      </c>
      <c r="L30" s="3">
        <v>0</v>
      </c>
      <c r="M30" s="3">
        <v>0</v>
      </c>
    </row>
    <row r="31" spans="1:13" x14ac:dyDescent="0.3">
      <c r="A31" s="3">
        <f>+IF(COUNTIF($C$1:C30,C31)&gt;0,RANK(C31,$C$2:$C$45,0)+COUNTIF($C$1:C30,C31),RANK(C31,$C$2:$C$45,0))</f>
        <v>30</v>
      </c>
      <c r="B31" s="3" t="s">
        <v>22</v>
      </c>
      <c r="C31" s="3">
        <f t="shared" si="0"/>
        <v>2</v>
      </c>
      <c r="D31" s="3">
        <v>0</v>
      </c>
      <c r="E31" s="3">
        <v>0</v>
      </c>
      <c r="F31" s="3">
        <v>0</v>
      </c>
      <c r="G31" s="3">
        <v>0</v>
      </c>
      <c r="H31" s="3">
        <v>0</v>
      </c>
      <c r="I31" s="3">
        <v>0</v>
      </c>
      <c r="J31" s="3">
        <v>1</v>
      </c>
      <c r="K31" s="3">
        <v>0</v>
      </c>
      <c r="L31" s="3">
        <v>0</v>
      </c>
      <c r="M31" s="3">
        <v>1</v>
      </c>
    </row>
    <row r="32" spans="1:13" x14ac:dyDescent="0.3">
      <c r="A32" s="3">
        <f>+IF(COUNTIF($C$1:C31,C32)&gt;0,RANK(C32,$C$2:$C$45,0)+COUNTIF($C$1:C31,C32),RANK(C32,$C$2:$C$45,0))</f>
        <v>18</v>
      </c>
      <c r="B32" s="3" t="s">
        <v>16</v>
      </c>
      <c r="C32" s="3">
        <f t="shared" si="0"/>
        <v>4</v>
      </c>
      <c r="D32" s="3">
        <v>1</v>
      </c>
      <c r="E32" s="3">
        <v>1</v>
      </c>
      <c r="F32" s="3">
        <v>0</v>
      </c>
      <c r="G32" s="3">
        <v>1</v>
      </c>
      <c r="H32" s="3">
        <v>1</v>
      </c>
      <c r="I32" s="3">
        <v>0</v>
      </c>
      <c r="J32" s="3">
        <v>0</v>
      </c>
      <c r="K32" s="3">
        <v>0</v>
      </c>
      <c r="L32" s="3">
        <v>0</v>
      </c>
      <c r="M32" s="3">
        <v>0</v>
      </c>
    </row>
    <row r="33" spans="1:13" x14ac:dyDescent="0.3">
      <c r="A33" s="3">
        <f>+IF(COUNTIF($C$1:C32,C33)&gt;0,RANK(C33,$C$2:$C$45,0)+COUNTIF($C$1:C32,C33),RANK(C33,$C$2:$C$45,0))</f>
        <v>41</v>
      </c>
      <c r="B33" s="3" t="s">
        <v>40</v>
      </c>
      <c r="C33" s="3">
        <f t="shared" si="0"/>
        <v>1</v>
      </c>
      <c r="D33" s="3">
        <v>0</v>
      </c>
      <c r="E33" s="3">
        <v>0</v>
      </c>
      <c r="F33" s="3">
        <v>0</v>
      </c>
      <c r="G33" s="3">
        <v>0</v>
      </c>
      <c r="H33" s="3">
        <v>0</v>
      </c>
      <c r="I33" s="3">
        <v>0</v>
      </c>
      <c r="J33" s="3">
        <v>1</v>
      </c>
      <c r="K33" s="3">
        <v>0</v>
      </c>
      <c r="L33" s="3">
        <v>0</v>
      </c>
      <c r="M33" s="3">
        <v>0</v>
      </c>
    </row>
    <row r="34" spans="1:13" x14ac:dyDescent="0.3">
      <c r="A34" s="3">
        <f>+IF(COUNTIF($C$1:C33,C34)&gt;0,RANK(C34,$C$2:$C$45,0)+COUNTIF($C$1:C33,C34),RANK(C34,$C$2:$C$45,0))</f>
        <v>22</v>
      </c>
      <c r="B34" s="3" t="s">
        <v>18</v>
      </c>
      <c r="C34" s="3">
        <f t="shared" si="0"/>
        <v>3</v>
      </c>
      <c r="D34" s="3">
        <v>0</v>
      </c>
      <c r="E34" s="3">
        <v>0</v>
      </c>
      <c r="F34" s="3">
        <v>0</v>
      </c>
      <c r="G34" s="3">
        <v>0</v>
      </c>
      <c r="H34" s="3">
        <v>0</v>
      </c>
      <c r="I34" s="3">
        <v>0</v>
      </c>
      <c r="J34" s="3">
        <v>0</v>
      </c>
      <c r="K34" s="3">
        <v>1</v>
      </c>
      <c r="L34" s="3">
        <v>1</v>
      </c>
      <c r="M34" s="3">
        <v>1</v>
      </c>
    </row>
    <row r="35" spans="1:13" x14ac:dyDescent="0.3">
      <c r="A35" s="3">
        <f>+IF(COUNTIF($C$1:C34,C35)&gt;0,RANK(C35,$C$2:$C$45,0)+COUNTIF($C$1:C34,C35),RANK(C35,$C$2:$C$45,0))</f>
        <v>42</v>
      </c>
      <c r="B35" s="3" t="s">
        <v>32</v>
      </c>
      <c r="C35" s="3">
        <f t="shared" si="0"/>
        <v>1</v>
      </c>
      <c r="D35" s="3">
        <v>0</v>
      </c>
      <c r="E35" s="3">
        <v>0</v>
      </c>
      <c r="F35" s="3">
        <v>0</v>
      </c>
      <c r="G35" s="3">
        <v>0</v>
      </c>
      <c r="H35" s="3">
        <v>0</v>
      </c>
      <c r="I35" s="3">
        <v>0</v>
      </c>
      <c r="J35" s="3">
        <v>0</v>
      </c>
      <c r="K35" s="3">
        <v>1</v>
      </c>
      <c r="L35" s="3">
        <v>0</v>
      </c>
      <c r="M35" s="3">
        <v>0</v>
      </c>
    </row>
    <row r="36" spans="1:13" x14ac:dyDescent="0.3">
      <c r="A36" s="3">
        <f>+IF(COUNTIF($C$1:C35,C36)&gt;0,RANK(C36,$C$2:$C$45,0)+COUNTIF($C$1:C35,C36),RANK(C36,$C$2:$C$45,0))</f>
        <v>43</v>
      </c>
      <c r="B36" s="3" t="s">
        <v>36</v>
      </c>
      <c r="C36" s="3">
        <f t="shared" si="0"/>
        <v>1</v>
      </c>
      <c r="D36" s="3">
        <v>0</v>
      </c>
      <c r="E36" s="3">
        <v>0</v>
      </c>
      <c r="F36" s="3">
        <v>0</v>
      </c>
      <c r="G36" s="3">
        <v>0</v>
      </c>
      <c r="H36" s="3">
        <v>0</v>
      </c>
      <c r="I36" s="3">
        <v>0</v>
      </c>
      <c r="J36" s="3">
        <v>0</v>
      </c>
      <c r="K36" s="3">
        <v>1</v>
      </c>
      <c r="L36" s="3">
        <v>0</v>
      </c>
      <c r="M36" s="3">
        <v>0</v>
      </c>
    </row>
    <row r="37" spans="1:13" x14ac:dyDescent="0.3">
      <c r="A37" s="3">
        <f>+IF(COUNTIF($C$1:C36,C37)&gt;0,RANK(C37,$C$2:$C$45,0)+COUNTIF($C$1:C36,C37),RANK(C37,$C$2:$C$45,0))</f>
        <v>19</v>
      </c>
      <c r="B37" s="3" t="s">
        <v>14</v>
      </c>
      <c r="C37" s="3">
        <f t="shared" si="0"/>
        <v>4</v>
      </c>
      <c r="D37" s="3">
        <v>1</v>
      </c>
      <c r="E37" s="3">
        <v>1</v>
      </c>
      <c r="F37" s="3">
        <v>1</v>
      </c>
      <c r="G37" s="3">
        <v>1</v>
      </c>
      <c r="H37" s="3">
        <v>0</v>
      </c>
      <c r="I37" s="3">
        <v>0</v>
      </c>
      <c r="J37" s="3">
        <v>0</v>
      </c>
      <c r="K37" s="3">
        <v>0</v>
      </c>
      <c r="L37" s="3">
        <v>0</v>
      </c>
      <c r="M37" s="3">
        <v>0</v>
      </c>
    </row>
    <row r="38" spans="1:13" x14ac:dyDescent="0.3">
      <c r="A38" s="3">
        <f>+IF(COUNTIF($C$1:C37,C38)&gt;0,RANK(C38,$C$2:$C$45,0)+COUNTIF($C$1:C37,C38),RANK(C38,$C$2:$C$45,0))</f>
        <v>2</v>
      </c>
      <c r="B38" s="3" t="s">
        <v>15</v>
      </c>
      <c r="C38" s="3">
        <f t="shared" si="0"/>
        <v>9</v>
      </c>
      <c r="D38" s="3">
        <v>1</v>
      </c>
      <c r="E38" s="3">
        <v>1</v>
      </c>
      <c r="F38" s="3">
        <v>1</v>
      </c>
      <c r="G38" s="3">
        <v>1</v>
      </c>
      <c r="H38" s="3">
        <v>0</v>
      </c>
      <c r="I38" s="3">
        <v>1</v>
      </c>
      <c r="J38" s="3">
        <v>1</v>
      </c>
      <c r="K38" s="3">
        <v>1</v>
      </c>
      <c r="L38" s="3">
        <v>1</v>
      </c>
      <c r="M38" s="3">
        <v>1</v>
      </c>
    </row>
    <row r="39" spans="1:13" x14ac:dyDescent="0.3">
      <c r="A39" s="3">
        <f>+IF(COUNTIF($C$1:C38,C39)&gt;0,RANK(C39,$C$2:$C$45,0)+COUNTIF($C$1:C38,C39),RANK(C39,$C$2:$C$45,0))</f>
        <v>23</v>
      </c>
      <c r="B39" s="3" t="s">
        <v>17</v>
      </c>
      <c r="C39" s="3">
        <f t="shared" si="0"/>
        <v>3</v>
      </c>
      <c r="D39" s="3">
        <v>0</v>
      </c>
      <c r="E39" s="3">
        <v>0</v>
      </c>
      <c r="F39" s="3">
        <v>0</v>
      </c>
      <c r="G39" s="3">
        <v>0</v>
      </c>
      <c r="H39" s="3">
        <v>1</v>
      </c>
      <c r="I39" s="3">
        <v>0</v>
      </c>
      <c r="J39" s="3">
        <v>1</v>
      </c>
      <c r="K39" s="3">
        <v>1</v>
      </c>
      <c r="L39" s="3">
        <v>0</v>
      </c>
      <c r="M39" s="3">
        <v>0</v>
      </c>
    </row>
    <row r="40" spans="1:13" x14ac:dyDescent="0.3">
      <c r="A40" s="3">
        <f>+IF(COUNTIF($C$1:C39,C40)&gt;0,RANK(C40,$C$2:$C$45,0)+COUNTIF($C$1:C39,C40),RANK(C40,$C$2:$C$45,0))</f>
        <v>31</v>
      </c>
      <c r="B40" s="3" t="s">
        <v>20</v>
      </c>
      <c r="C40" s="3">
        <f t="shared" si="0"/>
        <v>2</v>
      </c>
      <c r="D40" s="3">
        <v>0</v>
      </c>
      <c r="E40" s="3">
        <v>0</v>
      </c>
      <c r="F40" s="3">
        <v>0</v>
      </c>
      <c r="G40" s="3">
        <v>0</v>
      </c>
      <c r="H40" s="3">
        <v>0</v>
      </c>
      <c r="I40" s="3">
        <v>0</v>
      </c>
      <c r="J40" s="3">
        <v>0</v>
      </c>
      <c r="K40" s="3">
        <v>0</v>
      </c>
      <c r="L40" s="3">
        <v>1</v>
      </c>
      <c r="M40" s="3">
        <v>1</v>
      </c>
    </row>
    <row r="41" spans="1:13" x14ac:dyDescent="0.3">
      <c r="A41" s="3">
        <f>+IF(COUNTIF($C$1:C40,C41)&gt;0,RANK(C41,$C$2:$C$45,0)+COUNTIF($C$1:C40,C41),RANK(C41,$C$2:$C$45,0))</f>
        <v>3</v>
      </c>
      <c r="B41" s="3" t="s">
        <v>2</v>
      </c>
      <c r="C41" s="3">
        <f t="shared" si="0"/>
        <v>9</v>
      </c>
      <c r="D41" s="3">
        <v>1</v>
      </c>
      <c r="E41" s="3">
        <v>1</v>
      </c>
      <c r="F41" s="3">
        <v>1</v>
      </c>
      <c r="G41" s="3">
        <v>1</v>
      </c>
      <c r="H41" s="3">
        <v>1</v>
      </c>
      <c r="I41" s="3">
        <v>1</v>
      </c>
      <c r="J41" s="3">
        <v>0</v>
      </c>
      <c r="K41" s="3">
        <v>1</v>
      </c>
      <c r="L41" s="3">
        <v>1</v>
      </c>
      <c r="M41" s="3">
        <v>1</v>
      </c>
    </row>
    <row r="42" spans="1:13" x14ac:dyDescent="0.3">
      <c r="A42" s="3">
        <f>+IF(COUNTIF($C$1:C41,C42)&gt;0,RANK(C42,$C$2:$C$45,0)+COUNTIF($C$1:C41,C42),RANK(C42,$C$2:$C$45,0))</f>
        <v>15</v>
      </c>
      <c r="B42" s="3" t="s">
        <v>10</v>
      </c>
      <c r="C42" s="3">
        <f t="shared" si="0"/>
        <v>5</v>
      </c>
      <c r="D42" s="3">
        <v>0</v>
      </c>
      <c r="E42" s="3">
        <v>1</v>
      </c>
      <c r="F42" s="3">
        <v>1</v>
      </c>
      <c r="G42" s="3">
        <v>0</v>
      </c>
      <c r="H42" s="3">
        <v>1</v>
      </c>
      <c r="I42" s="3">
        <v>1</v>
      </c>
      <c r="J42" s="3">
        <v>0</v>
      </c>
      <c r="K42" s="3">
        <v>0</v>
      </c>
      <c r="L42" s="3">
        <v>1</v>
      </c>
      <c r="M42" s="3">
        <v>0</v>
      </c>
    </row>
    <row r="43" spans="1:13" x14ac:dyDescent="0.3">
      <c r="A43" s="3">
        <f>+IF(COUNTIF($C$1:C42,C43)&gt;0,RANK(C43,$C$2:$C$45,0)+COUNTIF($C$1:C42,C43),RANK(C43,$C$2:$C$45,0))</f>
        <v>24</v>
      </c>
      <c r="B43" s="3" t="s">
        <v>45</v>
      </c>
      <c r="C43" s="3">
        <f t="shared" si="0"/>
        <v>3</v>
      </c>
      <c r="D43" s="3">
        <v>0</v>
      </c>
      <c r="E43" s="3">
        <v>0</v>
      </c>
      <c r="F43" s="3">
        <v>1</v>
      </c>
      <c r="G43" s="3">
        <v>1</v>
      </c>
      <c r="H43" s="3">
        <v>0</v>
      </c>
      <c r="I43" s="3">
        <v>0</v>
      </c>
      <c r="J43" s="3">
        <v>1</v>
      </c>
      <c r="K43" s="3">
        <v>0</v>
      </c>
      <c r="L43" s="3">
        <v>0</v>
      </c>
      <c r="M43" s="3">
        <v>0</v>
      </c>
    </row>
    <row r="44" spans="1:13" x14ac:dyDescent="0.3">
      <c r="A44" s="3">
        <f>+IF(COUNTIF($C$1:C43,C44)&gt;0,RANK(C44,$C$2:$C$45,0)+COUNTIF($C$1:C43,C44),RANK(C44,$C$2:$C$45,0))</f>
        <v>44</v>
      </c>
      <c r="B44" s="3" t="s">
        <v>37</v>
      </c>
      <c r="C44" s="3">
        <f t="shared" si="0"/>
        <v>1</v>
      </c>
      <c r="D44" s="3">
        <v>0</v>
      </c>
      <c r="E44" s="3">
        <v>0</v>
      </c>
      <c r="F44" s="3">
        <v>0</v>
      </c>
      <c r="G44" s="3">
        <v>1</v>
      </c>
      <c r="H44" s="3">
        <v>0</v>
      </c>
      <c r="I44" s="3">
        <v>0</v>
      </c>
      <c r="J44" s="3">
        <v>0</v>
      </c>
      <c r="K44" s="3">
        <v>0</v>
      </c>
      <c r="L44" s="3">
        <v>0</v>
      </c>
      <c r="M44" s="3">
        <v>0</v>
      </c>
    </row>
    <row r="45" spans="1:13" x14ac:dyDescent="0.3">
      <c r="A45" s="4">
        <f>+IF(COUNTIF($C$1:C44,C45)&gt;0,RANK(C45,$C$2:$C$45,0)+COUNTIF($C$1:C44,C45),RANK(C45,$C$2:$C$45,0))</f>
        <v>32</v>
      </c>
      <c r="B45" s="4" t="s">
        <v>21</v>
      </c>
      <c r="C45" s="4">
        <f t="shared" si="0"/>
        <v>2</v>
      </c>
      <c r="D45" s="4">
        <v>0</v>
      </c>
      <c r="E45" s="4">
        <v>0</v>
      </c>
      <c r="F45" s="4">
        <v>0</v>
      </c>
      <c r="G45" s="4">
        <v>0</v>
      </c>
      <c r="H45" s="4">
        <v>0</v>
      </c>
      <c r="I45" s="4">
        <v>0</v>
      </c>
      <c r="J45" s="4">
        <v>0</v>
      </c>
      <c r="K45" s="4">
        <v>0</v>
      </c>
      <c r="L45" s="4">
        <v>1</v>
      </c>
      <c r="M45" s="4">
        <v>1</v>
      </c>
    </row>
  </sheetData>
  <autoFilter ref="B1:M1" xr:uid="{374489E4-D186-42D3-A4E8-3A21A6E3345B}"/>
  <conditionalFormatting sqref="D2:M45">
    <cfRule type="cellIs" dxfId="0" priority="1" operator="equal">
      <formula>1</formula>
    </cfRule>
  </conditionalFormatting>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3189AE66-A906-454E-A90F-E4DA1B21A8D9}">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Improvement</vt:lpstr>
      <vt:lpstr>Final Attirbutes</vt:lpstr>
      <vt:lpstr>Short Survey - ChatGPT</vt:lpstr>
      <vt:lpstr>Short Survey - Analysis</vt:lpstr>
      <vt:lpstr>Interview Attributes</vt:lpstr>
      <vt:lpstr>ChatGPT Attributes Refined</vt:lpstr>
      <vt:lpstr>ChatGPT Attributes</vt:lpstr>
      <vt:lpstr>Attribute_Frequency_Table</vt:lpstr>
      <vt:lpstr>Attributes_by_Interview</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Franco Bonifacini</dc:creator>
  <cp:lastModifiedBy>Franco Bonifacini</cp:lastModifiedBy>
  <dcterms:created xsi:type="dcterms:W3CDTF">2025-08-06T23:30:51Z</dcterms:created>
  <dcterms:modified xsi:type="dcterms:W3CDTF">2025-10-15T10:04:45Z</dcterms:modified>
</cp:coreProperties>
</file>